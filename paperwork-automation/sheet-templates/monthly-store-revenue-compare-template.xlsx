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 activeTab="2"/>
  </bookViews>
  <sheets>
    <sheet name="template" sheetId="2" r:id="rId1"/>
    <sheet name="Sheet1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<sst xmlns="http://schemas.openxmlformats.org/spreadsheetml/2006/main" count="559" uniqueCount="33">
  <si>
    <t>门店</t>
  </si>
  <si>
    <t>店长</t>
  </si>
  <si>
    <t>总收入（万）加币</t>
  </si>
  <si>
    <t>翻台率</t>
  </si>
  <si>
    <t>2025-7</t>
  </si>
  <si>
    <t>同比</t>
  </si>
  <si>
    <t>同比变化</t>
  </si>
  <si>
    <t>环比</t>
  </si>
  <si>
    <t>环比变化</t>
  </si>
  <si>
    <t>同比变化%</t>
  </si>
  <si>
    <t>环比变化%</t>
  </si>
  <si>
    <t>加拿大一店</t>
  </si>
  <si>
    <t>张森磊</t>
  </si>
  <si>
    <t>加拿大二店</t>
  </si>
  <si>
    <t>潘幸远</t>
  </si>
  <si>
    <t>加拿大三店</t>
  </si>
  <si>
    <t>Bao Xiaoyun</t>
  </si>
  <si>
    <t>加拿大四店</t>
  </si>
  <si>
    <t>李俊娟</t>
  </si>
  <si>
    <t>加拿大五店</t>
  </si>
  <si>
    <t>陈浩</t>
  </si>
  <si>
    <t>加拿大六店</t>
  </si>
  <si>
    <t>高新菊</t>
  </si>
  <si>
    <t>加拿大七店</t>
  </si>
  <si>
    <t>总计</t>
  </si>
  <si>
    <t>总收入（万）美金</t>
  </si>
  <si>
    <t xml:space="preserve"> </t>
  </si>
  <si>
    <t>2025-2</t>
  </si>
  <si>
    <t>2025-3</t>
  </si>
  <si>
    <t>2025-4</t>
  </si>
  <si>
    <t>2025-5</t>
  </si>
  <si>
    <t>2025-6</t>
  </si>
  <si>
    <t>2025-(2-7)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</si>
</sst>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10" fillId="10" borderId="9" applyNumberFormat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12" fillId="11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/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>
      <alignment vertical="center"/>
    </xf>
    <xf numFmtId="10" fontId="0" fillId="0" borderId="1" xfId="3" applyNumberFormat="1" applyFont="1" applyFill="1" applyBorder="1" applyAlignment="1" applyProtection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/>
    <xf numFmtId="178" fontId="0" fillId="0" borderId="1" xfId="3" applyNumberFormat="1" applyFont="1" applyFill="1" applyBorder="1" applyAlignment="1" applyProtection="1">
      <alignment vertical="center"/>
    </xf>
    <xf numFmtId="178" fontId="0" fillId="0" borderId="0" xfId="0" applyNumberFormat="1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Border="1">
      <alignment vertical="center"/>
    </xf>
    <xf numFmtId="10" fontId="0" fillId="0" borderId="1" xfId="3" applyNumberForma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3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R13" sqref="R13"/>
    </sheetView>
  </sheetViews>
  <sheetFormatPr defaultColWidth="9.14285714285714" defaultRowHeight="15"/>
  <cols>
    <col min="1" max="1" width="12.5714285714286" customWidth="1"/>
    <col min="2" max="2" width="12.7142857142857" customWidth="1"/>
    <col min="3" max="4" width="7.57142857142857" customWidth="1"/>
    <col min="5" max="5" width="10.1428571428571" customWidth="1"/>
    <col min="6" max="6" width="7.57142857142857" customWidth="1"/>
    <col min="7" max="7" width="10.1428571428571" customWidth="1"/>
    <col min="8" max="9" width="12.8571428571429" customWidth="1"/>
    <col min="10" max="10" width="10.1428571428571" customWidth="1"/>
    <col min="11" max="11" width="11.8571428571429" customWidth="1"/>
    <col min="12" max="12" width="12.8571428571429" customWidth="1"/>
    <col min="13" max="13" width="14" customWidth="1"/>
    <col min="14" max="14" width="11.8571428571429" customWidth="1"/>
  </cols>
  <sheetData>
    <row r="1" spans="1:14">
      <c r="A1" s="16" t="s">
        <v>0</v>
      </c>
      <c r="B1" s="16" t="s">
        <v>1</v>
      </c>
      <c r="C1" s="17" t="s">
        <v>2</v>
      </c>
      <c r="D1" s="17"/>
      <c r="E1" s="17"/>
      <c r="F1" s="17"/>
      <c r="G1" s="17"/>
      <c r="H1" s="18" t="s">
        <v>3</v>
      </c>
      <c r="I1" s="18"/>
      <c r="J1" s="18"/>
      <c r="K1" s="18"/>
      <c r="L1" s="18"/>
      <c r="M1" s="18"/>
      <c r="N1" s="18"/>
    </row>
    <row r="2" spans="1:14">
      <c r="A2" s="16"/>
      <c r="B2" s="16"/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20" t="s">
        <v>4</v>
      </c>
      <c r="I2" s="20" t="s">
        <v>5</v>
      </c>
      <c r="J2" s="20" t="s">
        <v>6</v>
      </c>
      <c r="K2" s="20" t="s">
        <v>9</v>
      </c>
      <c r="L2" s="20" t="s">
        <v>7</v>
      </c>
      <c r="M2" s="20" t="s">
        <v>8</v>
      </c>
      <c r="N2" s="20" t="s">
        <v>10</v>
      </c>
    </row>
    <row r="3" spans="1:14">
      <c r="A3" s="21" t="s">
        <v>11</v>
      </c>
      <c r="B3" s="21" t="s">
        <v>12</v>
      </c>
      <c r="C3" s="25"/>
      <c r="D3" s="25"/>
      <c r="E3" s="22" t="e">
        <f t="shared" ref="E3:E10" si="0">-(1-C3/D3)</f>
        <v>#DIV/0!</v>
      </c>
      <c r="F3" s="25"/>
      <c r="G3" s="22" t="e">
        <f t="shared" ref="G3:G10" si="1">-(1-C3/F3)</f>
        <v>#DIV/0!</v>
      </c>
      <c r="H3" s="25"/>
      <c r="I3" s="25"/>
      <c r="J3" s="21">
        <f t="shared" ref="J3:J9" si="2">H3-I3</f>
        <v>0</v>
      </c>
      <c r="K3" s="22" t="e">
        <f t="shared" ref="K3:K10" si="3">-(1-H3/I3)</f>
        <v>#DIV/0!</v>
      </c>
      <c r="L3" s="25"/>
      <c r="M3" s="21">
        <f t="shared" ref="M3:M9" si="4">H3-L3</f>
        <v>0</v>
      </c>
      <c r="N3" s="22" t="e">
        <f t="shared" ref="N3:N10" si="5">-(1-H3/L3)</f>
        <v>#DIV/0!</v>
      </c>
    </row>
    <row r="4" spans="1:14">
      <c r="A4" s="21" t="s">
        <v>13</v>
      </c>
      <c r="B4" s="21" t="s">
        <v>14</v>
      </c>
      <c r="C4" s="25"/>
      <c r="D4" s="25"/>
      <c r="E4" s="22" t="e">
        <f t="shared" si="0"/>
        <v>#DIV/0!</v>
      </c>
      <c r="F4" s="25"/>
      <c r="G4" s="22" t="e">
        <f t="shared" si="1"/>
        <v>#DIV/0!</v>
      </c>
      <c r="H4" s="25"/>
      <c r="I4" s="25"/>
      <c r="J4" s="21">
        <f t="shared" si="2"/>
        <v>0</v>
      </c>
      <c r="K4" s="22" t="e">
        <f t="shared" si="3"/>
        <v>#DIV/0!</v>
      </c>
      <c r="L4" s="25"/>
      <c r="M4" s="21">
        <f t="shared" si="4"/>
        <v>0</v>
      </c>
      <c r="N4" s="22" t="e">
        <f t="shared" si="5"/>
        <v>#DIV/0!</v>
      </c>
    </row>
    <row r="5" spans="1:14">
      <c r="A5" s="21" t="s">
        <v>15</v>
      </c>
      <c r="B5" s="21" t="s">
        <v>16</v>
      </c>
      <c r="C5" s="25"/>
      <c r="D5" s="25"/>
      <c r="E5" s="22" t="e">
        <f t="shared" si="0"/>
        <v>#DIV/0!</v>
      </c>
      <c r="F5" s="25"/>
      <c r="G5" s="22" t="e">
        <f t="shared" si="1"/>
        <v>#DIV/0!</v>
      </c>
      <c r="H5" s="25"/>
      <c r="I5" s="25"/>
      <c r="J5" s="21">
        <f t="shared" si="2"/>
        <v>0</v>
      </c>
      <c r="K5" s="22" t="e">
        <f t="shared" si="3"/>
        <v>#DIV/0!</v>
      </c>
      <c r="L5" s="25"/>
      <c r="M5" s="21">
        <f t="shared" si="4"/>
        <v>0</v>
      </c>
      <c r="N5" s="22" t="e">
        <f t="shared" si="5"/>
        <v>#DIV/0!</v>
      </c>
    </row>
    <row r="6" spans="1:14">
      <c r="A6" s="21" t="s">
        <v>17</v>
      </c>
      <c r="B6" s="21" t="s">
        <v>18</v>
      </c>
      <c r="C6" s="25"/>
      <c r="D6" s="25"/>
      <c r="E6" s="22" t="e">
        <f t="shared" si="0"/>
        <v>#DIV/0!</v>
      </c>
      <c r="F6" s="25"/>
      <c r="G6" s="22" t="e">
        <f t="shared" si="1"/>
        <v>#DIV/0!</v>
      </c>
      <c r="H6" s="25"/>
      <c r="I6" s="25"/>
      <c r="J6" s="21">
        <f t="shared" si="2"/>
        <v>0</v>
      </c>
      <c r="K6" s="22" t="e">
        <f t="shared" si="3"/>
        <v>#DIV/0!</v>
      </c>
      <c r="L6" s="25"/>
      <c r="M6" s="21">
        <f t="shared" si="4"/>
        <v>0</v>
      </c>
      <c r="N6" s="22" t="e">
        <f t="shared" si="5"/>
        <v>#DIV/0!</v>
      </c>
    </row>
    <row r="7" spans="1:14">
      <c r="A7" s="21" t="s">
        <v>19</v>
      </c>
      <c r="B7" s="21" t="s">
        <v>20</v>
      </c>
      <c r="C7" s="25"/>
      <c r="D7" s="25"/>
      <c r="E7" s="22" t="e">
        <f t="shared" si="0"/>
        <v>#DIV/0!</v>
      </c>
      <c r="F7" s="25"/>
      <c r="G7" s="22" t="e">
        <f t="shared" si="1"/>
        <v>#DIV/0!</v>
      </c>
      <c r="H7" s="25"/>
      <c r="I7" s="25"/>
      <c r="J7" s="21">
        <f t="shared" si="2"/>
        <v>0</v>
      </c>
      <c r="K7" s="22" t="e">
        <f t="shared" si="3"/>
        <v>#DIV/0!</v>
      </c>
      <c r="L7" s="25"/>
      <c r="M7" s="21">
        <f t="shared" si="4"/>
        <v>0</v>
      </c>
      <c r="N7" s="22" t="e">
        <f t="shared" si="5"/>
        <v>#DIV/0!</v>
      </c>
    </row>
    <row r="8" spans="1:14">
      <c r="A8" s="21" t="s">
        <v>21</v>
      </c>
      <c r="B8" s="21" t="s">
        <v>22</v>
      </c>
      <c r="C8" s="25"/>
      <c r="D8" s="25"/>
      <c r="E8" s="22" t="e">
        <f t="shared" si="0"/>
        <v>#DIV/0!</v>
      </c>
      <c r="F8" s="25"/>
      <c r="G8" s="22" t="e">
        <f t="shared" si="1"/>
        <v>#DIV/0!</v>
      </c>
      <c r="H8" s="25"/>
      <c r="I8" s="25"/>
      <c r="J8" s="21">
        <f t="shared" si="2"/>
        <v>0</v>
      </c>
      <c r="K8" s="22" t="e">
        <f t="shared" si="3"/>
        <v>#DIV/0!</v>
      </c>
      <c r="L8" s="25"/>
      <c r="M8" s="21">
        <f t="shared" si="4"/>
        <v>0</v>
      </c>
      <c r="N8" s="22" t="e">
        <f t="shared" si="5"/>
        <v>#DIV/0!</v>
      </c>
    </row>
    <row r="9" spans="1:14">
      <c r="A9" s="21" t="s">
        <v>23</v>
      </c>
      <c r="B9" s="21" t="s">
        <v>14</v>
      </c>
      <c r="C9" s="25"/>
      <c r="D9" s="25"/>
      <c r="E9" s="22" t="e">
        <f t="shared" si="0"/>
        <v>#DIV/0!</v>
      </c>
      <c r="F9" s="25"/>
      <c r="G9" s="22" t="e">
        <f t="shared" si="1"/>
        <v>#DIV/0!</v>
      </c>
      <c r="H9" s="25"/>
      <c r="I9" s="25"/>
      <c r="J9" s="21">
        <f t="shared" si="2"/>
        <v>0</v>
      </c>
      <c r="K9" s="22" t="e">
        <f t="shared" si="3"/>
        <v>#DIV/0!</v>
      </c>
      <c r="L9" s="25"/>
      <c r="M9" s="21">
        <f t="shared" si="4"/>
        <v>0</v>
      </c>
      <c r="N9" s="22" t="e">
        <f t="shared" si="5"/>
        <v>#DIV/0!</v>
      </c>
    </row>
    <row r="10" spans="1:14">
      <c r="A10" s="23" t="s">
        <v>24</v>
      </c>
      <c r="B10" s="23"/>
      <c r="C10" s="25">
        <f t="shared" ref="C10:F10" si="6">SUM(C3:C9)</f>
        <v>0</v>
      </c>
      <c r="D10" s="25">
        <f t="shared" si="6"/>
        <v>0</v>
      </c>
      <c r="E10" s="22" t="e">
        <f t="shared" si="0"/>
        <v>#DIV/0!</v>
      </c>
      <c r="F10" s="25">
        <f t="shared" si="6"/>
        <v>0</v>
      </c>
      <c r="G10" s="22" t="e">
        <f t="shared" si="1"/>
        <v>#DIV/0!</v>
      </c>
      <c r="H10" s="25" t="e">
        <f t="shared" ref="H10:J10" si="7">AVERAGE(H3:H9)</f>
        <v>#DIV/0!</v>
      </c>
      <c r="I10" s="25" t="e">
        <f t="shared" si="7"/>
        <v>#DIV/0!</v>
      </c>
      <c r="J10" s="24">
        <f t="shared" si="7"/>
        <v>0</v>
      </c>
      <c r="K10" s="22" t="e">
        <f t="shared" si="3"/>
        <v>#DIV/0!</v>
      </c>
      <c r="L10" s="25" t="e">
        <f>AVERAGE(L3:L9)</f>
        <v>#DIV/0!</v>
      </c>
      <c r="M10" s="24">
        <f>AVERAGE(M3:M9)</f>
        <v>0</v>
      </c>
      <c r="N10" s="22" t="e">
        <f t="shared" si="5"/>
        <v>#DIV/0!</v>
      </c>
    </row>
    <row r="15" spans="1:14">
      <c r="A15" s="16" t="s">
        <v>0</v>
      </c>
      <c r="B15" s="16" t="s">
        <v>1</v>
      </c>
      <c r="C15" s="17" t="s">
        <v>25</v>
      </c>
      <c r="D15" s="17"/>
      <c r="E15" s="17"/>
      <c r="F15" s="17"/>
      <c r="G15" s="17"/>
      <c r="H15" s="18" t="s">
        <v>3</v>
      </c>
      <c r="I15" s="18"/>
      <c r="J15" s="18"/>
      <c r="K15" s="18"/>
      <c r="L15" s="18"/>
      <c r="M15" s="18"/>
      <c r="N15" s="18"/>
    </row>
    <row r="16" spans="1:14">
      <c r="A16" s="16"/>
      <c r="B16" s="16"/>
      <c r="C16" s="19" t="s">
        <v>4</v>
      </c>
      <c r="D16" s="19" t="s">
        <v>5</v>
      </c>
      <c r="E16" s="19" t="s">
        <v>6</v>
      </c>
      <c r="F16" s="19" t="s">
        <v>7</v>
      </c>
      <c r="G16" s="19" t="s">
        <v>8</v>
      </c>
      <c r="H16" s="20" t="s">
        <v>4</v>
      </c>
      <c r="I16" s="20" t="s">
        <v>5</v>
      </c>
      <c r="J16" s="20" t="s">
        <v>6</v>
      </c>
      <c r="K16" s="20" t="s">
        <v>9</v>
      </c>
      <c r="L16" s="20" t="s">
        <v>7</v>
      </c>
      <c r="M16" s="20" t="s">
        <v>8</v>
      </c>
      <c r="N16" s="20" t="s">
        <v>10</v>
      </c>
    </row>
    <row r="17" spans="1:14">
      <c r="A17" s="21" t="s">
        <v>11</v>
      </c>
      <c r="B17" s="21" t="s">
        <v>12</v>
      </c>
      <c r="C17" s="25"/>
      <c r="D17" s="25"/>
      <c r="E17" s="26" t="e">
        <f t="shared" ref="E17:E24" si="8">-(1-C17/D17)</f>
        <v>#DIV/0!</v>
      </c>
      <c r="F17" s="25"/>
      <c r="G17" s="22" t="e">
        <f t="shared" ref="G17:G24" si="9">-(1-C17/F17)</f>
        <v>#DIV/0!</v>
      </c>
      <c r="H17" s="25"/>
      <c r="I17" s="25"/>
      <c r="J17" s="21">
        <f t="shared" ref="J17:J23" si="10">H17-I17</f>
        <v>0</v>
      </c>
      <c r="K17" s="22" t="e">
        <f t="shared" ref="K17:K24" si="11">-(1-H17/I17)</f>
        <v>#DIV/0!</v>
      </c>
      <c r="L17" s="25"/>
      <c r="M17" s="21">
        <f t="shared" ref="M17:M23" si="12">H17-L17</f>
        <v>0</v>
      </c>
      <c r="N17" s="22" t="e">
        <f t="shared" ref="N17:N24" si="13">-(1-H17/L17)</f>
        <v>#DIV/0!</v>
      </c>
    </row>
    <row r="18" spans="1:14">
      <c r="A18" s="21" t="s">
        <v>13</v>
      </c>
      <c r="B18" s="21" t="s">
        <v>14</v>
      </c>
      <c r="C18" s="25"/>
      <c r="D18" s="25"/>
      <c r="E18" s="26" t="e">
        <f t="shared" si="8"/>
        <v>#DIV/0!</v>
      </c>
      <c r="F18" s="25"/>
      <c r="G18" s="22" t="e">
        <f t="shared" si="9"/>
        <v>#DIV/0!</v>
      </c>
      <c r="H18" s="25"/>
      <c r="I18" s="25"/>
      <c r="J18" s="21">
        <f t="shared" si="10"/>
        <v>0</v>
      </c>
      <c r="K18" s="22" t="e">
        <f t="shared" si="11"/>
        <v>#DIV/0!</v>
      </c>
      <c r="L18" s="25"/>
      <c r="M18" s="21">
        <f t="shared" si="12"/>
        <v>0</v>
      </c>
      <c r="N18" s="22" t="e">
        <f t="shared" si="13"/>
        <v>#DIV/0!</v>
      </c>
    </row>
    <row r="19" spans="1:14">
      <c r="A19" s="21" t="s">
        <v>15</v>
      </c>
      <c r="B19" s="21" t="s">
        <v>16</v>
      </c>
      <c r="C19" s="25"/>
      <c r="D19" s="25"/>
      <c r="E19" s="26" t="e">
        <f t="shared" si="8"/>
        <v>#DIV/0!</v>
      </c>
      <c r="F19" s="25"/>
      <c r="G19" s="22" t="e">
        <f t="shared" si="9"/>
        <v>#DIV/0!</v>
      </c>
      <c r="H19" s="25"/>
      <c r="I19" s="25"/>
      <c r="J19" s="21">
        <f t="shared" si="10"/>
        <v>0</v>
      </c>
      <c r="K19" s="22" t="e">
        <f t="shared" si="11"/>
        <v>#DIV/0!</v>
      </c>
      <c r="L19" s="25"/>
      <c r="M19" s="21">
        <f t="shared" si="12"/>
        <v>0</v>
      </c>
      <c r="N19" s="22" t="e">
        <f t="shared" si="13"/>
        <v>#DIV/0!</v>
      </c>
    </row>
    <row r="20" spans="1:14">
      <c r="A20" s="21" t="s">
        <v>17</v>
      </c>
      <c r="B20" s="21" t="s">
        <v>18</v>
      </c>
      <c r="C20" s="25"/>
      <c r="D20" s="25"/>
      <c r="E20" s="26" t="e">
        <f t="shared" si="8"/>
        <v>#DIV/0!</v>
      </c>
      <c r="F20" s="25"/>
      <c r="G20" s="22" t="e">
        <f t="shared" si="9"/>
        <v>#DIV/0!</v>
      </c>
      <c r="H20" s="25"/>
      <c r="I20" s="25"/>
      <c r="J20" s="21">
        <f t="shared" si="10"/>
        <v>0</v>
      </c>
      <c r="K20" s="22" t="e">
        <f t="shared" si="11"/>
        <v>#DIV/0!</v>
      </c>
      <c r="L20" s="25"/>
      <c r="M20" s="21">
        <f t="shared" si="12"/>
        <v>0</v>
      </c>
      <c r="N20" s="22" t="e">
        <f t="shared" si="13"/>
        <v>#DIV/0!</v>
      </c>
    </row>
    <row r="21" spans="1:14">
      <c r="A21" s="21" t="s">
        <v>19</v>
      </c>
      <c r="B21" s="21" t="s">
        <v>20</v>
      </c>
      <c r="C21" s="25"/>
      <c r="D21" s="25"/>
      <c r="E21" s="26" t="e">
        <f t="shared" si="8"/>
        <v>#DIV/0!</v>
      </c>
      <c r="F21" s="25"/>
      <c r="G21" s="22" t="e">
        <f t="shared" si="9"/>
        <v>#DIV/0!</v>
      </c>
      <c r="H21" s="25"/>
      <c r="I21" s="25"/>
      <c r="J21" s="21">
        <f t="shared" si="10"/>
        <v>0</v>
      </c>
      <c r="K21" s="22" t="e">
        <f t="shared" si="11"/>
        <v>#DIV/0!</v>
      </c>
      <c r="L21" s="25"/>
      <c r="M21" s="21">
        <f t="shared" si="12"/>
        <v>0</v>
      </c>
      <c r="N21" s="22" t="e">
        <f t="shared" si="13"/>
        <v>#DIV/0!</v>
      </c>
    </row>
    <row r="22" spans="1:14">
      <c r="A22" s="21" t="s">
        <v>21</v>
      </c>
      <c r="B22" s="21" t="s">
        <v>22</v>
      </c>
      <c r="C22" s="25"/>
      <c r="D22" s="25"/>
      <c r="E22" s="26" t="e">
        <f t="shared" si="8"/>
        <v>#DIV/0!</v>
      </c>
      <c r="F22" s="25"/>
      <c r="G22" s="22" t="e">
        <f t="shared" si="9"/>
        <v>#DIV/0!</v>
      </c>
      <c r="H22" s="25"/>
      <c r="I22" s="25"/>
      <c r="J22" s="21">
        <f t="shared" si="10"/>
        <v>0</v>
      </c>
      <c r="K22" s="22" t="e">
        <f t="shared" si="11"/>
        <v>#DIV/0!</v>
      </c>
      <c r="L22" s="25"/>
      <c r="M22" s="21">
        <f t="shared" si="12"/>
        <v>0</v>
      </c>
      <c r="N22" s="22" t="e">
        <f t="shared" si="13"/>
        <v>#DIV/0!</v>
      </c>
    </row>
    <row r="23" spans="1:14">
      <c r="A23" s="21" t="s">
        <v>23</v>
      </c>
      <c r="B23" s="21" t="s">
        <v>14</v>
      </c>
      <c r="C23" s="25"/>
      <c r="D23" s="25"/>
      <c r="E23" s="26" t="e">
        <f t="shared" si="8"/>
        <v>#DIV/0!</v>
      </c>
      <c r="F23" s="25"/>
      <c r="G23" s="22" t="e">
        <f t="shared" si="9"/>
        <v>#DIV/0!</v>
      </c>
      <c r="H23" s="25"/>
      <c r="I23" s="25"/>
      <c r="J23" s="21">
        <f t="shared" si="10"/>
        <v>0</v>
      </c>
      <c r="K23" s="22" t="e">
        <f t="shared" si="11"/>
        <v>#DIV/0!</v>
      </c>
      <c r="L23" s="25"/>
      <c r="M23" s="21">
        <f t="shared" si="12"/>
        <v>0</v>
      </c>
      <c r="N23" s="22" t="e">
        <f t="shared" si="13"/>
        <v>#DIV/0!</v>
      </c>
    </row>
    <row r="24" spans="1:14">
      <c r="A24" s="23" t="s">
        <v>24</v>
      </c>
      <c r="B24" s="23"/>
      <c r="C24" s="25">
        <f t="shared" ref="C24:F24" si="14">SUM(C17:C23)</f>
        <v>0</v>
      </c>
      <c r="D24" s="25">
        <f t="shared" si="14"/>
        <v>0</v>
      </c>
      <c r="E24" s="26" t="e">
        <f t="shared" si="8"/>
        <v>#DIV/0!</v>
      </c>
      <c r="F24" s="25">
        <f t="shared" si="14"/>
        <v>0</v>
      </c>
      <c r="G24" s="22" t="e">
        <f t="shared" si="9"/>
        <v>#DIV/0!</v>
      </c>
      <c r="H24" s="25" t="e">
        <f t="shared" ref="H24:J24" si="15">AVERAGE(H17:H23)</f>
        <v>#DIV/0!</v>
      </c>
      <c r="I24" s="25" t="e">
        <f t="shared" si="15"/>
        <v>#DIV/0!</v>
      </c>
      <c r="J24" s="24">
        <f t="shared" si="15"/>
        <v>0</v>
      </c>
      <c r="K24" s="22" t="e">
        <f t="shared" si="11"/>
        <v>#DIV/0!</v>
      </c>
      <c r="L24" s="25" t="e">
        <f>AVERAGE(L17:L23)</f>
        <v>#DIV/0!</v>
      </c>
      <c r="M24" s="24">
        <f>AVERAGE(M17:M23)</f>
        <v>0</v>
      </c>
      <c r="N24" s="22" t="e">
        <f t="shared" si="13"/>
        <v>#DIV/0!</v>
      </c>
    </row>
  </sheetData>
  <mergeCells count="10">
    <mergeCell ref="C1:G1"/>
    <mergeCell ref="H1:N1"/>
    <mergeCell ref="A10:B10"/>
    <mergeCell ref="C15:G15"/>
    <mergeCell ref="H15:N15"/>
    <mergeCell ref="A24:B24"/>
    <mergeCell ref="A1:A2"/>
    <mergeCell ref="A15:A16"/>
    <mergeCell ref="B1:B2"/>
    <mergeCell ref="B15:B16"/>
  </mergeCells>
  <conditionalFormatting sqref="G3:G10">
    <cfRule type="cellIs" dxfId="0" priority="16" operator="greaterThan">
      <formula>0</formula>
    </cfRule>
    <cfRule type="cellIs" dxfId="1" priority="15" operator="lessThan">
      <formula>0</formula>
    </cfRule>
  </conditionalFormatting>
  <conditionalFormatting sqref="G17:G24">
    <cfRule type="cellIs" dxfId="0" priority="8" operator="greaterThan">
      <formula>0</formula>
    </cfRule>
    <cfRule type="cellIs" dxfId="1" priority="7" operator="lessThan">
      <formula>0</formula>
    </cfRule>
  </conditionalFormatting>
  <conditionalFormatting sqref="E3:E10 K3:K10 N3:N10">
    <cfRule type="cellIs" dxfId="1" priority="14" operator="greaterThan">
      <formula>0</formula>
    </cfRule>
    <cfRule type="cellIs" dxfId="1" priority="13" operator="lessThan">
      <formula>0</formula>
    </cfRule>
    <cfRule type="cellIs" dxfId="0" priority="12" operator="greaterThan">
      <formula>0</formula>
    </cfRule>
  </conditionalFormatting>
  <conditionalFormatting sqref="M3:M9 J3:J10 M10">
    <cfRule type="cellIs" dxfId="0" priority="11" operator="greaterThan">
      <formula>0.065</formula>
    </cfRule>
    <cfRule type="cellIs" dxfId="1" priority="10" operator="lessThan">
      <formula>0</formula>
    </cfRule>
    <cfRule type="cellIs" dxfId="0" priority="9" operator="greaterThan">
      <formula>0</formula>
    </cfRule>
  </conditionalFormatting>
  <conditionalFormatting sqref="E17:E24 K17:K24 N17:N24">
    <cfRule type="cellIs" dxfId="1" priority="6" operator="greaterThan">
      <formula>0</formula>
    </cfRule>
    <cfRule type="cellIs" dxfId="1" priority="5" operator="lessThan">
      <formula>0</formula>
    </cfRule>
    <cfRule type="cellIs" dxfId="0" priority="4" operator="greaterThan">
      <formula>0</formula>
    </cfRule>
  </conditionalFormatting>
  <conditionalFormatting sqref="M17:M23 J17:J24 M24">
    <cfRule type="cellIs" dxfId="0" priority="3" operator="greaterThan">
      <formula>0.065</formula>
    </cfRule>
    <cfRule type="cellIs" dxfId="1" priority="2" operator="lessThan">
      <formula>0</formula>
    </cfRule>
    <cfRule type="cellIs" dxfId="0" priority="1" operator="greater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zoomScale="85" zoomScaleNormal="85" workbookViewId="0">
      <selection activeCell="V24" sqref="V24"/>
    </sheetView>
  </sheetViews>
  <sheetFormatPr defaultColWidth="9.14285714285714" defaultRowHeight="15"/>
  <cols>
    <col min="1" max="1" width="12.5714285714286" customWidth="1"/>
    <col min="2" max="2" width="12.7142857142857" customWidth="1"/>
    <col min="3" max="4" width="7.57142857142857" customWidth="1"/>
    <col min="5" max="5" width="10.1428571428571" customWidth="1"/>
    <col min="6" max="6" width="7.57142857142857" customWidth="1"/>
    <col min="7" max="7" width="10.1428571428571" customWidth="1"/>
    <col min="8" max="9" width="12.8571428571429" customWidth="1"/>
    <col min="10" max="10" width="10.1428571428571" customWidth="1"/>
    <col min="11" max="11" width="11.8571428571429" customWidth="1"/>
    <col min="12" max="12" width="12.8571428571429" customWidth="1"/>
    <col min="13" max="13" width="14" customWidth="1"/>
    <col min="14" max="14" width="11.8571428571429" customWidth="1"/>
    <col min="16" max="16" width="5.85714285714286" customWidth="1"/>
    <col min="17" max="17" width="9.57142857142857" customWidth="1"/>
    <col min="19" max="20" width="12.8571428571429" customWidth="1"/>
    <col min="22" max="22" width="12.8571428571429" customWidth="1"/>
  </cols>
  <sheetData>
    <row r="1" spans="1:14">
      <c r="A1" s="16" t="s">
        <v>0</v>
      </c>
      <c r="B1" s="16" t="s">
        <v>1</v>
      </c>
      <c r="C1" s="17" t="s">
        <v>2</v>
      </c>
      <c r="D1" s="17"/>
      <c r="E1" s="17"/>
      <c r="F1" s="17"/>
      <c r="G1" s="17"/>
      <c r="H1" s="18" t="s">
        <v>3</v>
      </c>
      <c r="I1" s="18"/>
      <c r="J1" s="18"/>
      <c r="K1" s="18"/>
      <c r="L1" s="18"/>
      <c r="M1" s="18"/>
      <c r="N1" s="18"/>
    </row>
    <row r="2" spans="1:14">
      <c r="A2" s="16"/>
      <c r="B2" s="16"/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20" t="s">
        <v>4</v>
      </c>
      <c r="I2" s="20" t="s">
        <v>5</v>
      </c>
      <c r="J2" s="20" t="s">
        <v>6</v>
      </c>
      <c r="K2" s="20" t="s">
        <v>9</v>
      </c>
      <c r="L2" s="20" t="s">
        <v>7</v>
      </c>
      <c r="M2" s="20" t="s">
        <v>8</v>
      </c>
      <c r="N2" s="20" t="s">
        <v>10</v>
      </c>
    </row>
    <row r="3" spans="1:14">
      <c r="A3" s="21" t="s">
        <v>11</v>
      </c>
      <c r="B3" s="21" t="s">
        <v>12</v>
      </c>
      <c r="C3" s="21">
        <v>103.16</v>
      </c>
      <c r="D3" s="21">
        <v>103.18</v>
      </c>
      <c r="E3" s="22">
        <f>-(1-C3/D3)</f>
        <v>-0.000193836014731663</v>
      </c>
      <c r="F3" s="21">
        <v>105.1</v>
      </c>
      <c r="G3" s="22">
        <f>-(1-C3/F3)</f>
        <v>-0.0184586108468126</v>
      </c>
      <c r="H3" s="21">
        <v>4.14</v>
      </c>
      <c r="I3" s="21">
        <v>4.34</v>
      </c>
      <c r="J3" s="21">
        <f>H3-I3</f>
        <v>-0.2</v>
      </c>
      <c r="K3" s="22">
        <f t="shared" ref="K3:K10" si="0">-(1-H3/I3)</f>
        <v>-0.0460829493087558</v>
      </c>
      <c r="L3" s="21">
        <v>4.26</v>
      </c>
      <c r="M3" s="21">
        <f>H3-L3</f>
        <v>-0.12</v>
      </c>
      <c r="N3" s="22">
        <f t="shared" ref="N3:N10" si="1">-(1-H3/L3)</f>
        <v>-0.0281690140845071</v>
      </c>
    </row>
    <row r="4" spans="1:14">
      <c r="A4" s="21" t="s">
        <v>13</v>
      </c>
      <c r="B4" s="21" t="s">
        <v>14</v>
      </c>
      <c r="C4" s="21">
        <v>50.66</v>
      </c>
      <c r="D4" s="21">
        <v>45.95</v>
      </c>
      <c r="E4" s="22">
        <f t="shared" ref="E4:E10" si="2">-(1-C4/D4)</f>
        <v>0.102502720348205</v>
      </c>
      <c r="F4" s="21">
        <v>50.97</v>
      </c>
      <c r="G4" s="22">
        <f t="shared" ref="G4:G10" si="3">-(1-C4/F4)</f>
        <v>-0.00608200902491662</v>
      </c>
      <c r="H4" s="21">
        <v>3.14</v>
      </c>
      <c r="I4" s="21">
        <v>3.03</v>
      </c>
      <c r="J4" s="21">
        <f t="shared" ref="J4:J9" si="4">H4-I4</f>
        <v>0.11</v>
      </c>
      <c r="K4" s="22">
        <f t="shared" si="0"/>
        <v>0.0363036303630364</v>
      </c>
      <c r="L4" s="21">
        <v>3.19</v>
      </c>
      <c r="M4" s="21">
        <f t="shared" ref="M4:M9" si="5">H4-L4</f>
        <v>-0.0499999999999998</v>
      </c>
      <c r="N4" s="22">
        <f t="shared" si="1"/>
        <v>-0.0156739811912225</v>
      </c>
    </row>
    <row r="5" spans="1:14">
      <c r="A5" s="21" t="s">
        <v>15</v>
      </c>
      <c r="B5" s="21" t="s">
        <v>16</v>
      </c>
      <c r="C5" s="21">
        <v>94.17</v>
      </c>
      <c r="D5" s="21">
        <v>103.23</v>
      </c>
      <c r="E5" s="22">
        <f t="shared" si="2"/>
        <v>-0.0877651845393781</v>
      </c>
      <c r="F5" s="21">
        <v>95.8</v>
      </c>
      <c r="G5" s="22">
        <f t="shared" si="3"/>
        <v>-0.0170146137787056</v>
      </c>
      <c r="H5" s="21">
        <v>5.01</v>
      </c>
      <c r="I5" s="21">
        <v>5.94</v>
      </c>
      <c r="J5" s="21">
        <f t="shared" si="4"/>
        <v>-0.930000000000001</v>
      </c>
      <c r="K5" s="22">
        <f t="shared" si="0"/>
        <v>-0.156565656565657</v>
      </c>
      <c r="L5" s="21">
        <v>5.16</v>
      </c>
      <c r="M5" s="21">
        <f t="shared" si="5"/>
        <v>-0.15</v>
      </c>
      <c r="N5" s="22">
        <f t="shared" si="1"/>
        <v>-0.0290697674418605</v>
      </c>
    </row>
    <row r="6" spans="1:14">
      <c r="A6" s="21" t="s">
        <v>17</v>
      </c>
      <c r="B6" s="21" t="s">
        <v>18</v>
      </c>
      <c r="C6" s="21">
        <v>104.02</v>
      </c>
      <c r="D6" s="21">
        <v>105.05</v>
      </c>
      <c r="E6" s="22">
        <f t="shared" si="2"/>
        <v>-0.00980485483103288</v>
      </c>
      <c r="F6" s="21">
        <v>100.44</v>
      </c>
      <c r="G6" s="22">
        <f t="shared" si="3"/>
        <v>0.0356431700517721</v>
      </c>
      <c r="H6" s="21">
        <v>3.59</v>
      </c>
      <c r="I6" s="21">
        <v>4.36</v>
      </c>
      <c r="J6" s="21">
        <f t="shared" si="4"/>
        <v>-0.77</v>
      </c>
      <c r="K6" s="22">
        <f t="shared" si="0"/>
        <v>-0.176605504587156</v>
      </c>
      <c r="L6" s="21">
        <v>3.57</v>
      </c>
      <c r="M6" s="21">
        <f t="shared" si="5"/>
        <v>0.02</v>
      </c>
      <c r="N6" s="22">
        <f t="shared" si="1"/>
        <v>0.00560224089635852</v>
      </c>
    </row>
    <row r="7" spans="1:14">
      <c r="A7" s="21" t="s">
        <v>19</v>
      </c>
      <c r="B7" s="21" t="s">
        <v>20</v>
      </c>
      <c r="C7" s="21">
        <v>110.68</v>
      </c>
      <c r="D7" s="21">
        <v>95.26</v>
      </c>
      <c r="E7" s="22">
        <f t="shared" si="2"/>
        <v>0.161872769263069</v>
      </c>
      <c r="F7" s="21">
        <v>109.34</v>
      </c>
      <c r="G7" s="22">
        <f t="shared" si="3"/>
        <v>0.0122553502835194</v>
      </c>
      <c r="H7" s="21">
        <v>4.82</v>
      </c>
      <c r="I7" s="21">
        <v>5.15</v>
      </c>
      <c r="J7" s="21">
        <f t="shared" si="4"/>
        <v>-0.33</v>
      </c>
      <c r="K7" s="22">
        <f t="shared" si="0"/>
        <v>-0.0640776699029126</v>
      </c>
      <c r="L7" s="21">
        <v>4.82</v>
      </c>
      <c r="M7" s="21">
        <f t="shared" si="5"/>
        <v>0</v>
      </c>
      <c r="N7" s="22">
        <f t="shared" si="1"/>
        <v>0</v>
      </c>
    </row>
    <row r="8" spans="1:14">
      <c r="A8" s="21" t="s">
        <v>21</v>
      </c>
      <c r="B8" s="21" t="s">
        <v>22</v>
      </c>
      <c r="C8" s="21">
        <v>74.56</v>
      </c>
      <c r="D8" s="21">
        <v>64.51</v>
      </c>
      <c r="E8" s="22">
        <f t="shared" si="2"/>
        <v>0.155789800031003</v>
      </c>
      <c r="F8" s="21">
        <v>70.97</v>
      </c>
      <c r="G8" s="22">
        <f t="shared" si="3"/>
        <v>0.0505847541214599</v>
      </c>
      <c r="H8" s="21">
        <v>3.28</v>
      </c>
      <c r="I8" s="21">
        <v>3.27</v>
      </c>
      <c r="J8" s="21">
        <f t="shared" si="4"/>
        <v>0.00999999999999979</v>
      </c>
      <c r="K8" s="22">
        <f t="shared" si="0"/>
        <v>0.00305810397553508</v>
      </c>
      <c r="L8" s="21">
        <v>3.23</v>
      </c>
      <c r="M8" s="21">
        <f t="shared" si="5"/>
        <v>0.0499999999999998</v>
      </c>
      <c r="N8" s="22">
        <f t="shared" si="1"/>
        <v>0.0154798761609907</v>
      </c>
    </row>
    <row r="9" spans="1:14">
      <c r="A9" s="21" t="s">
        <v>23</v>
      </c>
      <c r="B9" s="21" t="s">
        <v>14</v>
      </c>
      <c r="C9" s="21">
        <v>100.5</v>
      </c>
      <c r="D9" s="21">
        <v>85.02</v>
      </c>
      <c r="E9" s="22">
        <f t="shared" si="2"/>
        <v>0.182074805928017</v>
      </c>
      <c r="F9" s="21">
        <v>97.21</v>
      </c>
      <c r="G9" s="22">
        <f t="shared" si="3"/>
        <v>0.033844254706306</v>
      </c>
      <c r="H9" s="21">
        <v>4.15</v>
      </c>
      <c r="I9" s="21">
        <v>3.09</v>
      </c>
      <c r="J9" s="21">
        <f t="shared" si="4"/>
        <v>1.06</v>
      </c>
      <c r="K9" s="22">
        <f t="shared" si="0"/>
        <v>0.343042071197411</v>
      </c>
      <c r="L9" s="21">
        <v>3.92</v>
      </c>
      <c r="M9" s="21">
        <f t="shared" si="5"/>
        <v>0.23</v>
      </c>
      <c r="N9" s="22">
        <f t="shared" si="1"/>
        <v>0.0586734693877553</v>
      </c>
    </row>
    <row r="10" spans="1:14">
      <c r="A10" s="23" t="s">
        <v>24</v>
      </c>
      <c r="B10" s="23"/>
      <c r="C10" s="24">
        <f>SUM(C3:C9)</f>
        <v>637.75</v>
      </c>
      <c r="D10" s="24">
        <f t="shared" ref="C10:F10" si="6">SUM(D3:D9)</f>
        <v>602.2</v>
      </c>
      <c r="E10" s="22">
        <f t="shared" si="2"/>
        <v>0.0590335436731981</v>
      </c>
      <c r="F10" s="24">
        <f t="shared" si="6"/>
        <v>629.83</v>
      </c>
      <c r="G10" s="22">
        <f t="shared" si="3"/>
        <v>0.012574821777305</v>
      </c>
      <c r="H10" s="24">
        <f t="shared" ref="H10:J10" si="7">AVERAGE(H3:H9)</f>
        <v>4.01857142857143</v>
      </c>
      <c r="I10" s="24">
        <f t="shared" si="7"/>
        <v>4.16857142857143</v>
      </c>
      <c r="J10" s="24">
        <f t="shared" si="7"/>
        <v>-0.15</v>
      </c>
      <c r="K10" s="22">
        <f t="shared" si="0"/>
        <v>-0.0359835503769704</v>
      </c>
      <c r="L10" s="24">
        <f>AVERAGE(L3:L9)</f>
        <v>4.02142857142857</v>
      </c>
      <c r="M10" s="24">
        <f>AVERAGE(M3:M9)</f>
        <v>-0.00285714285714286</v>
      </c>
      <c r="N10" s="22">
        <f t="shared" si="1"/>
        <v>-0.000710479573712175</v>
      </c>
    </row>
    <row r="15" spans="1:14">
      <c r="A15" s="16" t="s">
        <v>0</v>
      </c>
      <c r="B15" s="16" t="s">
        <v>1</v>
      </c>
      <c r="C15" s="17" t="s">
        <v>25</v>
      </c>
      <c r="D15" s="17"/>
      <c r="E15" s="17"/>
      <c r="F15" s="17"/>
      <c r="G15" s="17"/>
      <c r="H15" s="18" t="s">
        <v>3</v>
      </c>
      <c r="I15" s="18"/>
      <c r="J15" s="18"/>
      <c r="K15" s="18"/>
      <c r="L15" s="18"/>
      <c r="M15" s="18"/>
      <c r="N15" s="18"/>
    </row>
    <row r="16" spans="1:14">
      <c r="A16" s="16"/>
      <c r="B16" s="16"/>
      <c r="C16" s="19" t="s">
        <v>4</v>
      </c>
      <c r="D16" s="19" t="s">
        <v>5</v>
      </c>
      <c r="E16" s="19" t="s">
        <v>6</v>
      </c>
      <c r="F16" s="19" t="s">
        <v>7</v>
      </c>
      <c r="G16" s="19" t="s">
        <v>8</v>
      </c>
      <c r="H16" s="20" t="s">
        <v>4</v>
      </c>
      <c r="I16" s="20" t="s">
        <v>5</v>
      </c>
      <c r="J16" s="20" t="s">
        <v>6</v>
      </c>
      <c r="K16" s="20" t="s">
        <v>9</v>
      </c>
      <c r="L16" s="20" t="s">
        <v>7</v>
      </c>
      <c r="M16" s="20" t="s">
        <v>8</v>
      </c>
      <c r="N16" s="20" t="s">
        <v>10</v>
      </c>
    </row>
    <row r="17" spans="1:14">
      <c r="A17" s="21" t="s">
        <v>11</v>
      </c>
      <c r="B17" s="21" t="s">
        <v>12</v>
      </c>
      <c r="C17" s="25">
        <v>71.7235374</v>
      </c>
      <c r="D17" s="25">
        <v>77.86592198</v>
      </c>
      <c r="E17" s="22">
        <f t="shared" ref="E17:E24" si="8">-(1-C17/D17)</f>
        <v>-0.0788841180301916</v>
      </c>
      <c r="F17" s="25">
        <v>73.0723515</v>
      </c>
      <c r="G17" s="22">
        <f t="shared" ref="G17:G24" si="9">-(1-C17/F17)</f>
        <v>-0.0184586108468126</v>
      </c>
      <c r="H17" s="21">
        <v>4.14</v>
      </c>
      <c r="I17" s="21">
        <v>4.34</v>
      </c>
      <c r="J17" s="21">
        <f t="shared" ref="J17:J23" si="10">H17-I17</f>
        <v>-0.2</v>
      </c>
      <c r="K17" s="22">
        <f t="shared" ref="K17:K24" si="11">-(1-H17/I17)</f>
        <v>-0.0460829493087558</v>
      </c>
      <c r="L17" s="21">
        <v>4.26</v>
      </c>
      <c r="M17" s="21">
        <f t="shared" ref="M17:M23" si="12">H17-L17</f>
        <v>-0.12</v>
      </c>
      <c r="N17" s="22">
        <f t="shared" ref="N17:N24" si="13">-(1-H17/L17)</f>
        <v>-0.0281690140845071</v>
      </c>
    </row>
    <row r="18" spans="1:14">
      <c r="A18" s="21" t="s">
        <v>13</v>
      </c>
      <c r="B18" s="21" t="s">
        <v>14</v>
      </c>
      <c r="C18" s="25">
        <v>35.2221249</v>
      </c>
      <c r="D18" s="25">
        <v>34.67667295</v>
      </c>
      <c r="E18" s="22">
        <f t="shared" si="8"/>
        <v>0.0157296506151694</v>
      </c>
      <c r="F18" s="25">
        <v>35.43765705</v>
      </c>
      <c r="G18" s="22">
        <f t="shared" si="9"/>
        <v>-0.00608200902491662</v>
      </c>
      <c r="H18" s="21">
        <v>3.14</v>
      </c>
      <c r="I18" s="21">
        <v>3.03</v>
      </c>
      <c r="J18" s="21">
        <f t="shared" si="10"/>
        <v>0.11</v>
      </c>
      <c r="K18" s="22">
        <f t="shared" si="11"/>
        <v>0.0363036303630364</v>
      </c>
      <c r="L18" s="21">
        <v>3.19</v>
      </c>
      <c r="M18" s="21">
        <f t="shared" si="12"/>
        <v>-0.0499999999999998</v>
      </c>
      <c r="N18" s="22">
        <f t="shared" si="13"/>
        <v>-0.0156739811912225</v>
      </c>
    </row>
    <row r="19" spans="1:14">
      <c r="A19" s="21" t="s">
        <v>15</v>
      </c>
      <c r="B19" s="21" t="s">
        <v>16</v>
      </c>
      <c r="C19" s="25">
        <v>65.47310505</v>
      </c>
      <c r="D19" s="25">
        <v>77.90365503</v>
      </c>
      <c r="E19" s="22">
        <f t="shared" si="8"/>
        <v>-0.159563116457284</v>
      </c>
      <c r="F19" s="25">
        <v>66.606387</v>
      </c>
      <c r="G19" s="22">
        <f t="shared" si="9"/>
        <v>-0.0170146137787056</v>
      </c>
      <c r="H19" s="21">
        <v>5.01</v>
      </c>
      <c r="I19" s="21">
        <v>5.94</v>
      </c>
      <c r="J19" s="21">
        <f t="shared" si="10"/>
        <v>-0.930000000000001</v>
      </c>
      <c r="K19" s="22">
        <f t="shared" si="11"/>
        <v>-0.156565656565657</v>
      </c>
      <c r="L19" s="21">
        <v>5.16</v>
      </c>
      <c r="M19" s="21">
        <f t="shared" si="12"/>
        <v>-0.15</v>
      </c>
      <c r="N19" s="22">
        <f t="shared" si="13"/>
        <v>-0.0290697674418605</v>
      </c>
    </row>
    <row r="20" spans="1:14">
      <c r="A20" s="21" t="s">
        <v>17</v>
      </c>
      <c r="B20" s="21" t="s">
        <v>18</v>
      </c>
      <c r="C20" s="25">
        <v>72.3214653</v>
      </c>
      <c r="D20" s="25">
        <v>79.27713805</v>
      </c>
      <c r="E20" s="22">
        <f t="shared" si="8"/>
        <v>-0.0877386964399884</v>
      </c>
      <c r="F20" s="25">
        <v>69.8324166</v>
      </c>
      <c r="G20" s="22">
        <f t="shared" si="9"/>
        <v>0.0356431700517721</v>
      </c>
      <c r="H20" s="21">
        <v>3.59</v>
      </c>
      <c r="I20" s="21">
        <v>4.36</v>
      </c>
      <c r="J20" s="21">
        <f t="shared" si="10"/>
        <v>-0.77</v>
      </c>
      <c r="K20" s="22">
        <f t="shared" si="11"/>
        <v>-0.176605504587156</v>
      </c>
      <c r="L20" s="21">
        <v>3.57</v>
      </c>
      <c r="M20" s="21">
        <f t="shared" si="12"/>
        <v>0.02</v>
      </c>
      <c r="N20" s="22">
        <f t="shared" si="13"/>
        <v>0.00560224089635852</v>
      </c>
    </row>
    <row r="21" spans="1:14">
      <c r="A21" s="21" t="s">
        <v>19</v>
      </c>
      <c r="B21" s="21" t="s">
        <v>20</v>
      </c>
      <c r="C21" s="25">
        <v>76.9519302</v>
      </c>
      <c r="D21" s="25">
        <v>71.88900686</v>
      </c>
      <c r="E21" s="22">
        <f t="shared" si="8"/>
        <v>0.0704269478900963</v>
      </c>
      <c r="F21" s="25">
        <v>76.0202751</v>
      </c>
      <c r="G21" s="22">
        <f t="shared" si="9"/>
        <v>0.0122553502835192</v>
      </c>
      <c r="H21" s="21">
        <v>4.82</v>
      </c>
      <c r="I21" s="21">
        <v>5.15</v>
      </c>
      <c r="J21" s="21">
        <f t="shared" si="10"/>
        <v>-0.33</v>
      </c>
      <c r="K21" s="22">
        <f t="shared" si="11"/>
        <v>-0.0640776699029126</v>
      </c>
      <c r="L21" s="21">
        <v>4.82</v>
      </c>
      <c r="M21" s="21">
        <f t="shared" si="12"/>
        <v>0</v>
      </c>
      <c r="N21" s="22">
        <f t="shared" si="13"/>
        <v>0</v>
      </c>
    </row>
    <row r="22" spans="1:14">
      <c r="A22" s="21" t="s">
        <v>21</v>
      </c>
      <c r="B22" s="21" t="s">
        <v>22</v>
      </c>
      <c r="C22" s="25">
        <v>51.8389584</v>
      </c>
      <c r="D22" s="25">
        <v>48.68318111</v>
      </c>
      <c r="E22" s="22">
        <f t="shared" si="8"/>
        <v>0.0648227420239753</v>
      </c>
      <c r="F22" s="25">
        <v>49.34295705</v>
      </c>
      <c r="G22" s="22">
        <f t="shared" si="9"/>
        <v>0.0505847541214597</v>
      </c>
      <c r="H22" s="21">
        <v>3.28</v>
      </c>
      <c r="I22" s="21">
        <v>3.27</v>
      </c>
      <c r="J22" s="21">
        <f t="shared" si="10"/>
        <v>0.00999999999999979</v>
      </c>
      <c r="K22" s="22">
        <f t="shared" si="11"/>
        <v>0.00305810397553508</v>
      </c>
      <c r="L22" s="21">
        <v>3.23</v>
      </c>
      <c r="M22" s="21">
        <f t="shared" si="12"/>
        <v>0.0499999999999998</v>
      </c>
      <c r="N22" s="22">
        <f t="shared" si="13"/>
        <v>0.0154798761609907</v>
      </c>
    </row>
    <row r="23" spans="1:14">
      <c r="A23" s="21" t="s">
        <v>23</v>
      </c>
      <c r="B23" s="21" t="s">
        <v>14</v>
      </c>
      <c r="C23" s="25">
        <v>69.8741325</v>
      </c>
      <c r="D23" s="25">
        <v>64.16127822</v>
      </c>
      <c r="E23" s="22">
        <f t="shared" si="8"/>
        <v>0.0890389723909712</v>
      </c>
      <c r="F23" s="25">
        <v>67.58671065</v>
      </c>
      <c r="G23" s="22">
        <f t="shared" si="9"/>
        <v>0.033844254706306</v>
      </c>
      <c r="H23" s="21">
        <v>4.15</v>
      </c>
      <c r="I23" s="21">
        <v>3.09</v>
      </c>
      <c r="J23" s="21">
        <f t="shared" si="10"/>
        <v>1.06</v>
      </c>
      <c r="K23" s="22">
        <f t="shared" si="11"/>
        <v>0.343042071197411</v>
      </c>
      <c r="L23" s="21">
        <v>3.92</v>
      </c>
      <c r="M23" s="21">
        <f t="shared" si="12"/>
        <v>0.23</v>
      </c>
      <c r="N23" s="22">
        <f t="shared" si="13"/>
        <v>0.0586734693877553</v>
      </c>
    </row>
    <row r="24" spans="1:14">
      <c r="A24" s="23" t="s">
        <v>24</v>
      </c>
      <c r="B24" s="23"/>
      <c r="C24" s="25">
        <f t="shared" ref="C24:F24" si="14">SUM(C17:C23)</f>
        <v>443.40525375</v>
      </c>
      <c r="D24" s="25">
        <f t="shared" si="14"/>
        <v>454.4568542</v>
      </c>
      <c r="E24" s="22">
        <f t="shared" si="8"/>
        <v>-0.0243182611239401</v>
      </c>
      <c r="F24" s="25">
        <f t="shared" si="14"/>
        <v>437.89875495</v>
      </c>
      <c r="G24" s="22">
        <f t="shared" si="9"/>
        <v>0.0125748217773052</v>
      </c>
      <c r="H24" s="24">
        <f t="shared" ref="H24:J24" si="15">AVERAGE(H17:H23)</f>
        <v>4.01857142857143</v>
      </c>
      <c r="I24" s="24">
        <f t="shared" si="15"/>
        <v>4.16857142857143</v>
      </c>
      <c r="J24" s="24">
        <f t="shared" si="15"/>
        <v>-0.15</v>
      </c>
      <c r="K24" s="22">
        <f t="shared" si="11"/>
        <v>-0.0359835503769704</v>
      </c>
      <c r="L24" s="24">
        <f>AVERAGE(L17:L23)</f>
        <v>4.02142857142857</v>
      </c>
      <c r="M24" s="24">
        <f>AVERAGE(M17:M23)</f>
        <v>-0.00285714285714286</v>
      </c>
      <c r="N24" s="22">
        <f t="shared" si="13"/>
        <v>-0.000710479573712175</v>
      </c>
    </row>
    <row r="29" spans="14:14">
      <c r="N29" t="s">
        <v>26</v>
      </c>
    </row>
  </sheetData>
  <mergeCells count="10">
    <mergeCell ref="C1:G1"/>
    <mergeCell ref="H1:N1"/>
    <mergeCell ref="A10:B10"/>
    <mergeCell ref="C15:G15"/>
    <mergeCell ref="H15:N15"/>
    <mergeCell ref="A24:B24"/>
    <mergeCell ref="A1:A2"/>
    <mergeCell ref="A15:A16"/>
    <mergeCell ref="B1:B2"/>
    <mergeCell ref="B15:B16"/>
  </mergeCells>
  <conditionalFormatting sqref="G3:G10">
    <cfRule type="cellIs" dxfId="0" priority="16" operator="greaterThan">
      <formula>0</formula>
    </cfRule>
    <cfRule type="cellIs" dxfId="1" priority="15" operator="lessThan">
      <formula>0</formula>
    </cfRule>
  </conditionalFormatting>
  <conditionalFormatting sqref="G17:G24">
    <cfRule type="cellIs" dxfId="0" priority="8" operator="greaterThan">
      <formula>0</formula>
    </cfRule>
    <cfRule type="cellIs" dxfId="1" priority="7" operator="lessThan">
      <formula>0</formula>
    </cfRule>
  </conditionalFormatting>
  <conditionalFormatting sqref="E3:E10 K3:K10 N3:N10">
    <cfRule type="cellIs" dxfId="0" priority="12" operator="greaterThan">
      <formula>0</formula>
    </cfRule>
    <cfRule type="cellIs" dxfId="1" priority="13" operator="lessThan">
      <formula>0</formula>
    </cfRule>
    <cfRule type="cellIs" dxfId="1" priority="14" operator="greaterThan">
      <formula>0</formula>
    </cfRule>
  </conditionalFormatting>
  <conditionalFormatting sqref="M3:M9 J3:J10 M10">
    <cfRule type="cellIs" dxfId="0" priority="11" operator="greaterThan">
      <formula>0.065</formula>
    </cfRule>
    <cfRule type="cellIs" dxfId="1" priority="10" operator="lessThan">
      <formula>0</formula>
    </cfRule>
    <cfRule type="cellIs" dxfId="0" priority="9" operator="greaterThan">
      <formula>0</formula>
    </cfRule>
  </conditionalFormatting>
  <conditionalFormatting sqref="E17:E24 K17:K24 N17:N24">
    <cfRule type="cellIs" dxfId="1" priority="6" operator="greaterThan">
      <formula>0</formula>
    </cfRule>
    <cfRule type="cellIs" dxfId="1" priority="5" operator="lessThan">
      <formula>0</formula>
    </cfRule>
    <cfRule type="cellIs" dxfId="0" priority="4" operator="greaterThan">
      <formula>0</formula>
    </cfRule>
  </conditionalFormatting>
  <conditionalFormatting sqref="M17:M23 J17:J24 M24">
    <cfRule type="cellIs" dxfId="0" priority="3" operator="greaterThan">
      <formula>0.065</formula>
    </cfRule>
    <cfRule type="cellIs" dxfId="1" priority="2" operator="lessThan">
      <formula>0</formula>
    </cfRule>
    <cfRule type="cellIs" dxfId="0" priority="1" operator="greater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4"/>
  <sheetViews>
    <sheetView tabSelected="1" zoomScale="55" zoomScaleNormal="55" topLeftCell="CI1" workbookViewId="0">
      <selection activeCell="CV31" sqref="CV31"/>
    </sheetView>
  </sheetViews>
  <sheetFormatPr defaultColWidth="9.14285714285714" defaultRowHeight="15"/>
  <cols>
    <col min="1" max="1" width="12.5714285714286" customWidth="1"/>
    <col min="2" max="2" width="12.7142857142857" customWidth="1"/>
    <col min="3" max="4" width="7.57142857142857" customWidth="1"/>
    <col min="5" max="5" width="10.1428571428571" customWidth="1"/>
    <col min="6" max="6" width="7.57142857142857" customWidth="1"/>
    <col min="7" max="7" width="10.1428571428571" customWidth="1"/>
    <col min="8" max="8" width="7.28571428571429" customWidth="1"/>
    <col min="9" max="9" width="5.85714285714286" customWidth="1"/>
    <col min="10" max="10" width="12.8571428571429" customWidth="1"/>
    <col min="11" max="11" width="11.8571428571429" customWidth="1"/>
    <col min="12" max="12" width="5.85714285714286" customWidth="1"/>
    <col min="13" max="13" width="12.8571428571429" customWidth="1"/>
    <col min="14" max="14" width="11.8571428571429" customWidth="1"/>
    <col min="16" max="16" width="12.5714285714286" customWidth="1"/>
    <col min="17" max="17" width="12.7142857142857" customWidth="1"/>
    <col min="18" max="19" width="7.57142857142857" customWidth="1"/>
    <col min="20" max="20" width="10.1428571428571" customWidth="1"/>
    <col min="21" max="21" width="7.57142857142857" customWidth="1"/>
    <col min="22" max="22" width="10.1428571428571" customWidth="1"/>
    <col min="23" max="23" width="7.28571428571429" customWidth="1"/>
    <col min="24" max="24" width="5.85714285714286" customWidth="1"/>
    <col min="25" max="25" width="14" customWidth="1"/>
    <col min="26" max="26" width="11.8571428571429" customWidth="1"/>
    <col min="27" max="27" width="5.85714285714286" customWidth="1"/>
    <col min="28" max="28" width="12.8571428571429" customWidth="1"/>
    <col min="29" max="29" width="11.8571428571429" customWidth="1"/>
    <col min="31" max="31" width="12.5714285714286" customWidth="1"/>
    <col min="32" max="32" width="12.7142857142857" customWidth="1"/>
    <col min="33" max="34" width="7.57142857142857" customWidth="1"/>
    <col min="35" max="35" width="10.1428571428571" customWidth="1"/>
    <col min="36" max="36" width="7.57142857142857" customWidth="1"/>
    <col min="37" max="37" width="10.1428571428571" customWidth="1"/>
    <col min="38" max="38" width="7.28571428571429" customWidth="1"/>
    <col min="39" max="39" width="5.85714285714286" customWidth="1"/>
    <col min="40" max="40" width="12.8571428571429" customWidth="1"/>
    <col min="41" max="41" width="11.8571428571429" customWidth="1"/>
    <col min="42" max="42" width="5.85714285714286" customWidth="1"/>
    <col min="43" max="43" width="14" customWidth="1"/>
    <col min="44" max="44" width="11.8571428571429" customWidth="1"/>
    <col min="46" max="46" width="12.5714285714286" customWidth="1"/>
    <col min="47" max="47" width="12.7142857142857" customWidth="1"/>
    <col min="48" max="49" width="7.57142857142857" customWidth="1"/>
    <col min="50" max="50" width="10.1428571428571" customWidth="1"/>
    <col min="51" max="51" width="7.57142857142857" customWidth="1"/>
    <col min="52" max="52" width="10.1428571428571" customWidth="1"/>
    <col min="53" max="53" width="7.28571428571429" customWidth="1"/>
    <col min="54" max="54" width="5.85714285714286" customWidth="1"/>
    <col min="55" max="55" width="14" customWidth="1"/>
    <col min="56" max="56" width="11.8571428571429" customWidth="1"/>
    <col min="57" max="57" width="5.85714285714286" customWidth="1"/>
    <col min="58" max="58" width="14" customWidth="1"/>
    <col min="59" max="59" width="11.8571428571429" customWidth="1"/>
    <col min="61" max="61" width="12.5714285714286" customWidth="1"/>
    <col min="62" max="62" width="12.7142857142857" customWidth="1"/>
    <col min="63" max="64" width="7.57142857142857" customWidth="1"/>
    <col min="65" max="65" width="10.1428571428571" customWidth="1"/>
    <col min="66" max="66" width="7.57142857142857" customWidth="1"/>
    <col min="67" max="67" width="10.1428571428571" customWidth="1"/>
    <col min="68" max="68" width="7.28571428571429" customWidth="1"/>
    <col min="69" max="69" width="5.85714285714286" customWidth="1"/>
    <col min="70" max="70" width="14" customWidth="1"/>
    <col min="71" max="71" width="11.8571428571429" customWidth="1"/>
    <col min="72" max="72" width="5.85714285714286" customWidth="1"/>
    <col min="73" max="73" width="14" customWidth="1"/>
    <col min="74" max="74" width="11.8571428571429" customWidth="1"/>
    <col min="76" max="76" width="12.5714285714286" customWidth="1"/>
    <col min="77" max="77" width="12.7142857142857" customWidth="1"/>
    <col min="78" max="79" width="7.57142857142857" customWidth="1"/>
    <col min="80" max="80" width="10.1428571428571" customWidth="1"/>
    <col min="81" max="81" width="7.57142857142857" customWidth="1"/>
    <col min="82" max="82" width="10.1428571428571" customWidth="1"/>
    <col min="83" max="84" width="12.8571428571429" customWidth="1"/>
    <col min="85" max="85" width="10.1428571428571" customWidth="1"/>
    <col min="86" max="86" width="11.8571428571429" customWidth="1"/>
    <col min="87" max="87" width="12.8571428571429" customWidth="1"/>
    <col min="88" max="88" width="14" customWidth="1"/>
    <col min="89" max="89" width="11.8571428571429" customWidth="1"/>
    <col min="91" max="91" width="12.5714285714286" customWidth="1"/>
    <col min="92" max="92" width="12.7142857142857" customWidth="1"/>
    <col min="93" max="93" width="10.4285714285714" customWidth="1"/>
    <col min="94" max="94" width="8.57142857142857" customWidth="1"/>
    <col min="95" max="95" width="10.1428571428571" customWidth="1"/>
    <col min="96" max="96" width="8.57142857142857" customWidth="1"/>
    <col min="97" max="97" width="10.1428571428571" customWidth="1"/>
    <col min="98" max="99" width="12.8571428571429" customWidth="1"/>
    <col min="100" max="100" width="14" customWidth="1"/>
    <col min="101" max="101" width="11.8571428571429" customWidth="1"/>
    <col min="102" max="102" width="12.8571428571429" customWidth="1"/>
    <col min="103" max="103" width="14" customWidth="1"/>
    <col min="104" max="104" width="11.8571428571429" customWidth="1"/>
  </cols>
  <sheetData>
    <row r="1" spans="1:104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3"/>
      <c r="J1" s="3"/>
      <c r="K1" s="3"/>
      <c r="L1" s="3"/>
      <c r="M1" s="3"/>
      <c r="N1" s="4"/>
      <c r="P1" s="1" t="s">
        <v>0</v>
      </c>
      <c r="Q1" s="1" t="s">
        <v>1</v>
      </c>
      <c r="R1" s="2" t="s">
        <v>2</v>
      </c>
      <c r="S1" s="3"/>
      <c r="T1" s="3"/>
      <c r="U1" s="3"/>
      <c r="V1" s="4"/>
      <c r="W1" s="5" t="s">
        <v>3</v>
      </c>
      <c r="X1" s="3"/>
      <c r="Y1" s="3"/>
      <c r="Z1" s="3"/>
      <c r="AA1" s="3"/>
      <c r="AB1" s="3"/>
      <c r="AC1" s="4"/>
      <c r="AE1" s="1" t="s">
        <v>0</v>
      </c>
      <c r="AF1" s="1" t="s">
        <v>1</v>
      </c>
      <c r="AG1" s="2" t="s">
        <v>2</v>
      </c>
      <c r="AH1" s="3"/>
      <c r="AI1" s="3"/>
      <c r="AJ1" s="3"/>
      <c r="AK1" s="4"/>
      <c r="AL1" s="5" t="s">
        <v>3</v>
      </c>
      <c r="AM1" s="3"/>
      <c r="AN1" s="3"/>
      <c r="AO1" s="3"/>
      <c r="AP1" s="3"/>
      <c r="AQ1" s="3"/>
      <c r="AR1" s="4"/>
      <c r="AT1" s="1" t="s">
        <v>0</v>
      </c>
      <c r="AU1" s="1" t="s">
        <v>1</v>
      </c>
      <c r="AV1" s="2" t="s">
        <v>2</v>
      </c>
      <c r="AW1" s="3"/>
      <c r="AX1" s="3"/>
      <c r="AY1" s="3"/>
      <c r="AZ1" s="4"/>
      <c r="BA1" s="5" t="s">
        <v>3</v>
      </c>
      <c r="BB1" s="3"/>
      <c r="BC1" s="3"/>
      <c r="BD1" s="3"/>
      <c r="BE1" s="3"/>
      <c r="BF1" s="3"/>
      <c r="BG1" s="4"/>
      <c r="BI1" s="1" t="s">
        <v>0</v>
      </c>
      <c r="BJ1" s="1" t="s">
        <v>1</v>
      </c>
      <c r="BK1" s="2" t="s">
        <v>2</v>
      </c>
      <c r="BL1" s="3"/>
      <c r="BM1" s="3"/>
      <c r="BN1" s="3"/>
      <c r="BO1" s="4"/>
      <c r="BP1" s="5" t="s">
        <v>3</v>
      </c>
      <c r="BQ1" s="3"/>
      <c r="BR1" s="3"/>
      <c r="BS1" s="3"/>
      <c r="BT1" s="3"/>
      <c r="BU1" s="3"/>
      <c r="BV1" s="4"/>
      <c r="BX1" s="1" t="s">
        <v>0</v>
      </c>
      <c r="BY1" s="1" t="s">
        <v>1</v>
      </c>
      <c r="BZ1" s="2" t="s">
        <v>2</v>
      </c>
      <c r="CA1" s="3"/>
      <c r="CB1" s="3"/>
      <c r="CC1" s="3"/>
      <c r="CD1" s="4"/>
      <c r="CE1" s="5" t="s">
        <v>3</v>
      </c>
      <c r="CF1" s="3"/>
      <c r="CG1" s="3"/>
      <c r="CH1" s="3"/>
      <c r="CI1" s="3"/>
      <c r="CJ1" s="3"/>
      <c r="CK1" s="4"/>
      <c r="CM1" s="1" t="s">
        <v>0</v>
      </c>
      <c r="CN1" s="1" t="s">
        <v>1</v>
      </c>
      <c r="CO1" s="2" t="s">
        <v>2</v>
      </c>
      <c r="CP1" s="3"/>
      <c r="CQ1" s="3"/>
      <c r="CR1" s="3"/>
      <c r="CS1" s="4"/>
      <c r="CT1" s="5" t="s">
        <v>3</v>
      </c>
      <c r="CU1" s="3"/>
      <c r="CV1" s="3"/>
      <c r="CW1" s="3"/>
      <c r="CX1" s="3"/>
      <c r="CY1" s="3"/>
      <c r="CZ1" s="4"/>
    </row>
    <row r="2" spans="1:104">
      <c r="A2" s="6"/>
      <c r="B2" s="6"/>
      <c r="C2" s="7" t="s">
        <v>27</v>
      </c>
      <c r="D2" s="7" t="s">
        <v>5</v>
      </c>
      <c r="E2" s="7" t="s">
        <v>6</v>
      </c>
      <c r="F2" s="7" t="s">
        <v>7</v>
      </c>
      <c r="G2" s="7" t="s">
        <v>8</v>
      </c>
      <c r="H2" s="8" t="s">
        <v>27</v>
      </c>
      <c r="I2" s="8" t="s">
        <v>5</v>
      </c>
      <c r="J2" s="8" t="s">
        <v>6</v>
      </c>
      <c r="K2" s="8" t="s">
        <v>9</v>
      </c>
      <c r="L2" s="8" t="s">
        <v>7</v>
      </c>
      <c r="M2" s="8" t="s">
        <v>8</v>
      </c>
      <c r="N2" s="8" t="s">
        <v>10</v>
      </c>
      <c r="P2" s="6"/>
      <c r="Q2" s="6"/>
      <c r="R2" s="7" t="s">
        <v>28</v>
      </c>
      <c r="S2" s="7" t="s">
        <v>5</v>
      </c>
      <c r="T2" s="7" t="s">
        <v>6</v>
      </c>
      <c r="U2" s="7" t="s">
        <v>7</v>
      </c>
      <c r="V2" s="7" t="s">
        <v>8</v>
      </c>
      <c r="W2" s="8" t="s">
        <v>28</v>
      </c>
      <c r="X2" s="8" t="s">
        <v>5</v>
      </c>
      <c r="Y2" s="8" t="s">
        <v>6</v>
      </c>
      <c r="Z2" s="8" t="s">
        <v>9</v>
      </c>
      <c r="AA2" s="8" t="s">
        <v>7</v>
      </c>
      <c r="AB2" s="8" t="s">
        <v>8</v>
      </c>
      <c r="AC2" s="8" t="s">
        <v>10</v>
      </c>
      <c r="AE2" s="6"/>
      <c r="AF2" s="6"/>
      <c r="AG2" s="7" t="s">
        <v>29</v>
      </c>
      <c r="AH2" s="7" t="s">
        <v>5</v>
      </c>
      <c r="AI2" s="7" t="s">
        <v>6</v>
      </c>
      <c r="AJ2" s="7" t="s">
        <v>7</v>
      </c>
      <c r="AK2" s="7" t="s">
        <v>8</v>
      </c>
      <c r="AL2" s="8" t="s">
        <v>29</v>
      </c>
      <c r="AM2" s="8" t="s">
        <v>5</v>
      </c>
      <c r="AN2" s="8" t="s">
        <v>6</v>
      </c>
      <c r="AO2" s="8" t="s">
        <v>9</v>
      </c>
      <c r="AP2" s="8" t="s">
        <v>7</v>
      </c>
      <c r="AQ2" s="8" t="s">
        <v>8</v>
      </c>
      <c r="AR2" s="8" t="s">
        <v>10</v>
      </c>
      <c r="AT2" s="6"/>
      <c r="AU2" s="6"/>
      <c r="AV2" s="7" t="s">
        <v>30</v>
      </c>
      <c r="AW2" s="7" t="s">
        <v>5</v>
      </c>
      <c r="AX2" s="7" t="s">
        <v>6</v>
      </c>
      <c r="AY2" s="7" t="s">
        <v>7</v>
      </c>
      <c r="AZ2" s="7" t="s">
        <v>8</v>
      </c>
      <c r="BA2" s="8" t="s">
        <v>30</v>
      </c>
      <c r="BB2" s="8" t="s">
        <v>5</v>
      </c>
      <c r="BC2" s="8" t="s">
        <v>6</v>
      </c>
      <c r="BD2" s="8" t="s">
        <v>9</v>
      </c>
      <c r="BE2" s="8" t="s">
        <v>7</v>
      </c>
      <c r="BF2" s="8" t="s">
        <v>8</v>
      </c>
      <c r="BG2" s="8" t="s">
        <v>10</v>
      </c>
      <c r="BI2" s="6"/>
      <c r="BJ2" s="6"/>
      <c r="BK2" s="7" t="s">
        <v>31</v>
      </c>
      <c r="BL2" s="7" t="s">
        <v>5</v>
      </c>
      <c r="BM2" s="7" t="s">
        <v>6</v>
      </c>
      <c r="BN2" s="7" t="s">
        <v>7</v>
      </c>
      <c r="BO2" s="7" t="s">
        <v>8</v>
      </c>
      <c r="BP2" s="8" t="s">
        <v>31</v>
      </c>
      <c r="BQ2" s="8" t="s">
        <v>5</v>
      </c>
      <c r="BR2" s="8" t="s">
        <v>6</v>
      </c>
      <c r="BS2" s="8" t="s">
        <v>9</v>
      </c>
      <c r="BT2" s="8" t="s">
        <v>7</v>
      </c>
      <c r="BU2" s="8" t="s">
        <v>8</v>
      </c>
      <c r="BV2" s="8" t="s">
        <v>10</v>
      </c>
      <c r="BX2" s="6"/>
      <c r="BY2" s="6"/>
      <c r="BZ2" s="7" t="s">
        <v>4</v>
      </c>
      <c r="CA2" s="7" t="s">
        <v>5</v>
      </c>
      <c r="CB2" s="7" t="s">
        <v>6</v>
      </c>
      <c r="CC2" s="7" t="s">
        <v>7</v>
      </c>
      <c r="CD2" s="7" t="s">
        <v>8</v>
      </c>
      <c r="CE2" s="8" t="s">
        <v>4</v>
      </c>
      <c r="CF2" s="8" t="s">
        <v>5</v>
      </c>
      <c r="CG2" s="8" t="s">
        <v>6</v>
      </c>
      <c r="CH2" s="8" t="s">
        <v>9</v>
      </c>
      <c r="CI2" s="8" t="s">
        <v>7</v>
      </c>
      <c r="CJ2" s="8" t="s">
        <v>8</v>
      </c>
      <c r="CK2" s="8" t="s">
        <v>10</v>
      </c>
      <c r="CM2" s="6"/>
      <c r="CN2" s="6"/>
      <c r="CO2" s="7" t="s">
        <v>32</v>
      </c>
      <c r="CP2" s="7" t="s">
        <v>5</v>
      </c>
      <c r="CQ2" s="7" t="s">
        <v>6</v>
      </c>
      <c r="CR2" s="7" t="s">
        <v>7</v>
      </c>
      <c r="CS2" s="7" t="s">
        <v>8</v>
      </c>
      <c r="CT2" s="8" t="s">
        <v>32</v>
      </c>
      <c r="CU2" s="8" t="s">
        <v>5</v>
      </c>
      <c r="CV2" s="8" t="s">
        <v>6</v>
      </c>
      <c r="CW2" s="8" t="s">
        <v>9</v>
      </c>
      <c r="CX2" s="8" t="s">
        <v>7</v>
      </c>
      <c r="CY2" s="8" t="s">
        <v>8</v>
      </c>
      <c r="CZ2" s="8" t="s">
        <v>10</v>
      </c>
    </row>
    <row r="3" spans="1:104">
      <c r="A3" s="9" t="s">
        <v>11</v>
      </c>
      <c r="B3" s="9" t="s">
        <v>12</v>
      </c>
      <c r="C3" s="10">
        <v>97.81</v>
      </c>
      <c r="D3" s="10">
        <v>111.91</v>
      </c>
      <c r="E3" s="11">
        <f t="shared" ref="E3:E10" si="0">-(1-C3/D3)</f>
        <v>-0.125994102403717</v>
      </c>
      <c r="F3" s="10">
        <v>115.96</v>
      </c>
      <c r="G3" s="11">
        <f t="shared" ref="G3:G10" si="1">-(1-C3/F3)</f>
        <v>-0.156519489479131</v>
      </c>
      <c r="H3" s="10">
        <v>4.42</v>
      </c>
      <c r="I3" s="10">
        <v>4.87</v>
      </c>
      <c r="J3" s="9">
        <f t="shared" ref="J3:J9" si="2">H3-I3</f>
        <v>-0.45</v>
      </c>
      <c r="K3" s="11">
        <f t="shared" ref="K3:K10" si="3">-(1-H3/I3)</f>
        <v>-0.0924024640657084</v>
      </c>
      <c r="L3" s="10">
        <v>4.29</v>
      </c>
      <c r="M3" s="9">
        <f t="shared" ref="M3:M9" si="4">H3-L3</f>
        <v>0.13</v>
      </c>
      <c r="N3" s="11">
        <f t="shared" ref="N3:N10" si="5">-(1-H3/L3)</f>
        <v>0.0303030303030303</v>
      </c>
      <c r="P3" s="9" t="s">
        <v>11</v>
      </c>
      <c r="Q3" s="9" t="s">
        <v>12</v>
      </c>
      <c r="R3" s="10">
        <v>110.61</v>
      </c>
      <c r="S3" s="10">
        <v>122</v>
      </c>
      <c r="T3" s="11">
        <f t="shared" ref="T3:T10" si="6">-(1-R3/S3)</f>
        <v>-0.0933606557377049</v>
      </c>
      <c r="U3" s="10">
        <v>97.81</v>
      </c>
      <c r="V3" s="11">
        <f t="shared" ref="V3:V10" si="7">-(1-R3/U3)</f>
        <v>0.130865964625294</v>
      </c>
      <c r="W3" s="10">
        <v>4.42</v>
      </c>
      <c r="X3" s="10">
        <v>5.19</v>
      </c>
      <c r="Y3" s="9">
        <f t="shared" ref="Y3:Y9" si="8">W3-X3</f>
        <v>-0.77</v>
      </c>
      <c r="Z3" s="11">
        <f t="shared" ref="Z3:Z10" si="9">-(1-W3/X3)</f>
        <v>-0.148362235067438</v>
      </c>
      <c r="AA3" s="10">
        <v>4.42</v>
      </c>
      <c r="AB3" s="9">
        <f t="shared" ref="AB3:AB9" si="10">W3-AA3</f>
        <v>0</v>
      </c>
      <c r="AC3" s="11">
        <f t="shared" ref="AC3:AC10" si="11">-(1-W3/AA3)</f>
        <v>0</v>
      </c>
      <c r="AE3" s="9" t="s">
        <v>11</v>
      </c>
      <c r="AF3" s="9" t="s">
        <v>12</v>
      </c>
      <c r="AG3" s="10">
        <v>103.86</v>
      </c>
      <c r="AH3" s="10">
        <v>103.82</v>
      </c>
      <c r="AI3" s="11">
        <f t="shared" ref="AI3:AI10" si="12">-(1-AG3/AH3)</f>
        <v>0.000385282219225624</v>
      </c>
      <c r="AJ3" s="10">
        <v>110.61</v>
      </c>
      <c r="AK3" s="11">
        <f t="shared" ref="AK3:AK10" si="13">-(1-AG3/AJ3)</f>
        <v>-0.0610252237591538</v>
      </c>
      <c r="AL3" s="10">
        <v>4.23</v>
      </c>
      <c r="AM3" s="10">
        <v>4.85</v>
      </c>
      <c r="AN3" s="9">
        <f t="shared" ref="AN3:AN9" si="14">AL3-AM3</f>
        <v>-0.619999999999999</v>
      </c>
      <c r="AO3" s="11">
        <f t="shared" ref="AO3:AO10" si="15">-(1-AL3/AM3)</f>
        <v>-0.127835051546392</v>
      </c>
      <c r="AP3" s="10">
        <v>4.42</v>
      </c>
      <c r="AQ3" s="9">
        <f t="shared" ref="AQ3:AQ9" si="16">AL3-AP3</f>
        <v>-0.19</v>
      </c>
      <c r="AR3" s="11">
        <f t="shared" ref="AR3:AR10" si="17">-(1-AL3/AP3)</f>
        <v>-0.0429864253393664</v>
      </c>
      <c r="AT3" s="9" t="s">
        <v>11</v>
      </c>
      <c r="AU3" s="9" t="s">
        <v>12</v>
      </c>
      <c r="AV3" s="10">
        <v>105.14</v>
      </c>
      <c r="AW3" s="10">
        <v>105.46</v>
      </c>
      <c r="AX3" s="11">
        <f t="shared" ref="AX3:AX10" si="18">-(1-AV3/AW3)</f>
        <v>-0.00303432581073382</v>
      </c>
      <c r="AY3" s="10">
        <v>103.86</v>
      </c>
      <c r="AZ3" s="11">
        <f t="shared" ref="AZ3:AZ10" si="19">-(1-AV3/AY3)</f>
        <v>0.0123242826882342</v>
      </c>
      <c r="BA3" s="10">
        <v>4.17</v>
      </c>
      <c r="BB3" s="10">
        <v>4.55</v>
      </c>
      <c r="BC3" s="9">
        <f t="shared" ref="BC3:BC9" si="20">BA3-BB3</f>
        <v>-0.38</v>
      </c>
      <c r="BD3" s="11">
        <f t="shared" ref="BD3:BD10" si="21">-(1-BA3/BB3)</f>
        <v>-0.0835164835164834</v>
      </c>
      <c r="BE3" s="10">
        <v>4.23</v>
      </c>
      <c r="BF3" s="9">
        <f t="shared" ref="BF3:BF9" si="22">BA3-BE3</f>
        <v>-0.0600000000000005</v>
      </c>
      <c r="BG3" s="11">
        <f t="shared" ref="BG3:BG10" si="23">-(1-BA3/BE3)</f>
        <v>-0.0141843971631207</v>
      </c>
      <c r="BI3" s="9" t="s">
        <v>11</v>
      </c>
      <c r="BJ3" s="9" t="s">
        <v>12</v>
      </c>
      <c r="BK3" s="10">
        <v>105.1</v>
      </c>
      <c r="BL3" s="10">
        <v>107.56</v>
      </c>
      <c r="BM3" s="11">
        <f t="shared" ref="BM3:BM10" si="24">-(1-BK3/BL3)</f>
        <v>-0.0228709557456305</v>
      </c>
      <c r="BN3" s="10">
        <v>105.14</v>
      </c>
      <c r="BO3" s="11">
        <f t="shared" ref="BO3:BO10" si="25">-(1-BK3/BN3)</f>
        <v>-0.000380445120791384</v>
      </c>
      <c r="BP3" s="10">
        <v>4.26</v>
      </c>
      <c r="BQ3" s="10">
        <v>4.63</v>
      </c>
      <c r="BR3" s="9">
        <f t="shared" ref="BR3:BR9" si="26">BP3-BQ3</f>
        <v>-0.37</v>
      </c>
      <c r="BS3" s="11">
        <f t="shared" ref="BS3:BS10" si="27">-(1-BP3/BQ3)</f>
        <v>-0.0799136069114471</v>
      </c>
      <c r="BT3" s="10">
        <v>4.17</v>
      </c>
      <c r="BU3" s="9">
        <f t="shared" ref="BU3:BU9" si="28">BP3-BT3</f>
        <v>0.0899999999999999</v>
      </c>
      <c r="BV3" s="11">
        <f t="shared" ref="BV3:BV10" si="29">-(1-BP3/BT3)</f>
        <v>0.0215827338129495</v>
      </c>
      <c r="BX3" s="9" t="s">
        <v>11</v>
      </c>
      <c r="BY3" s="9" t="s">
        <v>12</v>
      </c>
      <c r="BZ3" s="9">
        <v>103.16</v>
      </c>
      <c r="CA3" s="9">
        <v>103.18</v>
      </c>
      <c r="CB3" s="11">
        <v>-0.000193836014731663</v>
      </c>
      <c r="CC3" s="9">
        <v>105.1</v>
      </c>
      <c r="CD3" s="11">
        <v>-0.0184586108468126</v>
      </c>
      <c r="CE3" s="9">
        <v>4.14</v>
      </c>
      <c r="CF3" s="9">
        <v>4.34</v>
      </c>
      <c r="CG3" s="9">
        <v>-0.2</v>
      </c>
      <c r="CH3" s="11">
        <v>-0.0460829493087558</v>
      </c>
      <c r="CI3" s="9">
        <v>4.26</v>
      </c>
      <c r="CJ3" s="9">
        <v>-0.12</v>
      </c>
      <c r="CK3" s="11">
        <v>-0.0281690140845071</v>
      </c>
      <c r="CM3" s="9" t="s">
        <v>11</v>
      </c>
      <c r="CN3" s="9" t="s">
        <v>12</v>
      </c>
      <c r="CO3" s="10">
        <f t="shared" ref="CO3:CO9" si="30">SUM(BZ3,BK3,AV3,,AG3,R3,C3)</f>
        <v>625.68</v>
      </c>
      <c r="CP3" s="10">
        <f t="shared" ref="CP3:CT3" si="31">SUM(CA3,BL3,AW3,,AH3,S3,D3)</f>
        <v>653.93</v>
      </c>
      <c r="CQ3" s="11">
        <f t="shared" ref="CQ3:CQ10" si="32">-(1-CO3/CP3)</f>
        <v>-0.0432003425443088</v>
      </c>
      <c r="CR3" s="10">
        <f t="shared" si="31"/>
        <v>638.48</v>
      </c>
      <c r="CS3" s="11">
        <f t="shared" ref="CS3:CS10" si="33">-(1-CO3/CR3)</f>
        <v>-0.0200476130810675</v>
      </c>
      <c r="CT3" s="10">
        <f t="shared" ref="CT3:CT9" si="34">AVERAGE(CE3,BP3,BA3,,AL3,W3,H3)</f>
        <v>3.66285714285714</v>
      </c>
      <c r="CU3" s="10">
        <f t="shared" ref="CU3:CU9" si="35">AVERAGE(CF3,BQ3,BB3,,AM3,X3,I3)</f>
        <v>4.06142857142857</v>
      </c>
      <c r="CV3" s="9">
        <f t="shared" ref="CV3:CV9" si="36">CT3-CU3</f>
        <v>-0.398571428571429</v>
      </c>
      <c r="CW3" s="11">
        <f t="shared" ref="CW3:CW10" si="37">-(1-CT3/CU3)</f>
        <v>-0.0981357720717552</v>
      </c>
      <c r="CX3" s="10">
        <f t="shared" ref="CX3:CX9" si="38">AVERAGE(CI3,BT3,BE3,,AP3,AA3,L3)</f>
        <v>3.68428571428571</v>
      </c>
      <c r="CY3" s="9">
        <f t="shared" ref="CY3:CY9" si="39">CT3-CX3</f>
        <v>-0.0214285714285714</v>
      </c>
      <c r="CZ3" s="11">
        <f t="shared" ref="CZ3:CZ10" si="40">-(1-CT3/CX3)</f>
        <v>-0.00581620783249315</v>
      </c>
    </row>
    <row r="4" spans="1:104">
      <c r="A4" s="9" t="s">
        <v>13</v>
      </c>
      <c r="B4" s="9" t="s">
        <v>14</v>
      </c>
      <c r="C4" s="10">
        <v>57.8</v>
      </c>
      <c r="D4" s="10">
        <v>62.38</v>
      </c>
      <c r="E4" s="11">
        <f t="shared" si="0"/>
        <v>-0.0734209682590575</v>
      </c>
      <c r="F4" s="10">
        <v>66.37</v>
      </c>
      <c r="G4" s="11">
        <f t="shared" si="1"/>
        <v>-0.129124604489981</v>
      </c>
      <c r="H4" s="10">
        <v>3.83</v>
      </c>
      <c r="I4" s="10">
        <v>4.65</v>
      </c>
      <c r="J4" s="9">
        <f t="shared" si="2"/>
        <v>-0.82</v>
      </c>
      <c r="K4" s="11">
        <f t="shared" si="3"/>
        <v>-0.176344086021505</v>
      </c>
      <c r="L4" s="10">
        <v>3.7</v>
      </c>
      <c r="M4" s="9">
        <f t="shared" si="4"/>
        <v>0.13</v>
      </c>
      <c r="N4" s="11">
        <f t="shared" si="5"/>
        <v>0.035135135135135</v>
      </c>
      <c r="P4" s="9" t="s">
        <v>13</v>
      </c>
      <c r="Q4" s="9" t="s">
        <v>14</v>
      </c>
      <c r="R4" s="10">
        <v>68.25</v>
      </c>
      <c r="S4" s="10">
        <v>70.55</v>
      </c>
      <c r="T4" s="11">
        <f t="shared" si="6"/>
        <v>-0.0326009922041105</v>
      </c>
      <c r="U4" s="10">
        <v>57.8</v>
      </c>
      <c r="V4" s="11">
        <f t="shared" si="7"/>
        <v>0.180795847750865</v>
      </c>
      <c r="W4" s="10">
        <v>4.43</v>
      </c>
      <c r="X4" s="10">
        <v>5.18</v>
      </c>
      <c r="Y4" s="9">
        <f t="shared" si="8"/>
        <v>-0.75</v>
      </c>
      <c r="Z4" s="11">
        <f t="shared" si="9"/>
        <v>-0.144787644787645</v>
      </c>
      <c r="AA4" s="10">
        <v>3.83</v>
      </c>
      <c r="AB4" s="9">
        <f t="shared" si="10"/>
        <v>0.6</v>
      </c>
      <c r="AC4" s="11">
        <f t="shared" si="11"/>
        <v>0.156657963446475</v>
      </c>
      <c r="AE4" s="9" t="s">
        <v>13</v>
      </c>
      <c r="AF4" s="9" t="s">
        <v>14</v>
      </c>
      <c r="AG4" s="10">
        <v>61.81</v>
      </c>
      <c r="AH4" s="10">
        <v>57.65</v>
      </c>
      <c r="AI4" s="11">
        <f t="shared" si="12"/>
        <v>0.0721595836947095</v>
      </c>
      <c r="AJ4" s="10">
        <v>68.25</v>
      </c>
      <c r="AK4" s="11">
        <f t="shared" si="13"/>
        <v>-0.0943589743589743</v>
      </c>
      <c r="AL4" s="10">
        <v>4.08</v>
      </c>
      <c r="AM4" s="10">
        <v>4.78</v>
      </c>
      <c r="AN4" s="9">
        <f t="shared" si="14"/>
        <v>-0.7</v>
      </c>
      <c r="AO4" s="11">
        <f t="shared" si="15"/>
        <v>-0.146443514644351</v>
      </c>
      <c r="AP4" s="10">
        <v>4.43</v>
      </c>
      <c r="AQ4" s="9">
        <f t="shared" si="16"/>
        <v>-0.35</v>
      </c>
      <c r="AR4" s="11">
        <f t="shared" si="17"/>
        <v>-0.0790067720090293</v>
      </c>
      <c r="AT4" s="9" t="s">
        <v>13</v>
      </c>
      <c r="AU4" s="9" t="s">
        <v>14</v>
      </c>
      <c r="AV4" s="10">
        <v>57.27</v>
      </c>
      <c r="AW4" s="10">
        <v>57.94</v>
      </c>
      <c r="AX4" s="11">
        <f t="shared" si="18"/>
        <v>-0.0115636865723161</v>
      </c>
      <c r="AY4" s="10">
        <v>61.81</v>
      </c>
      <c r="AZ4" s="11">
        <f t="shared" si="19"/>
        <v>-0.073450897912959</v>
      </c>
      <c r="BA4" s="10">
        <v>3.48</v>
      </c>
      <c r="BB4" s="10">
        <v>3.87</v>
      </c>
      <c r="BC4" s="9">
        <f t="shared" si="20"/>
        <v>-0.39</v>
      </c>
      <c r="BD4" s="11">
        <f t="shared" si="21"/>
        <v>-0.10077519379845</v>
      </c>
      <c r="BE4" s="10">
        <v>4.08</v>
      </c>
      <c r="BF4" s="9">
        <f t="shared" si="22"/>
        <v>-0.6</v>
      </c>
      <c r="BG4" s="11">
        <f t="shared" si="23"/>
        <v>-0.147058823529412</v>
      </c>
      <c r="BI4" s="9" t="s">
        <v>13</v>
      </c>
      <c r="BJ4" s="9" t="s">
        <v>14</v>
      </c>
      <c r="BK4" s="10">
        <v>50.97</v>
      </c>
      <c r="BL4" s="10">
        <v>54.14</v>
      </c>
      <c r="BM4" s="11">
        <f t="shared" si="24"/>
        <v>-0.0585519024750647</v>
      </c>
      <c r="BN4" s="10">
        <v>57.27</v>
      </c>
      <c r="BO4" s="11">
        <f t="shared" si="25"/>
        <v>-0.110005238344683</v>
      </c>
      <c r="BP4" s="10">
        <v>3.19</v>
      </c>
      <c r="BQ4" s="10">
        <v>3.66</v>
      </c>
      <c r="BR4" s="9">
        <f t="shared" si="26"/>
        <v>-0.47</v>
      </c>
      <c r="BS4" s="11">
        <f t="shared" si="27"/>
        <v>-0.128415300546448</v>
      </c>
      <c r="BT4" s="10">
        <v>3.48</v>
      </c>
      <c r="BU4" s="9">
        <f t="shared" si="28"/>
        <v>-0.29</v>
      </c>
      <c r="BV4" s="11">
        <f t="shared" si="29"/>
        <v>-0.0833333333333334</v>
      </c>
      <c r="BX4" s="9" t="s">
        <v>13</v>
      </c>
      <c r="BY4" s="9" t="s">
        <v>14</v>
      </c>
      <c r="BZ4" s="9">
        <v>50.66</v>
      </c>
      <c r="CA4" s="9">
        <v>45.95</v>
      </c>
      <c r="CB4" s="11">
        <v>0.102502720348205</v>
      </c>
      <c r="CC4" s="9">
        <v>50.97</v>
      </c>
      <c r="CD4" s="11">
        <v>-0.00608200902491662</v>
      </c>
      <c r="CE4" s="9">
        <v>3.14</v>
      </c>
      <c r="CF4" s="9">
        <v>3.03</v>
      </c>
      <c r="CG4" s="9">
        <v>0.11</v>
      </c>
      <c r="CH4" s="11">
        <v>0.0363036303630364</v>
      </c>
      <c r="CI4" s="9">
        <v>3.19</v>
      </c>
      <c r="CJ4" s="9">
        <v>-0.0499999999999998</v>
      </c>
      <c r="CK4" s="11">
        <v>-0.0156739811912225</v>
      </c>
      <c r="CM4" s="9" t="s">
        <v>13</v>
      </c>
      <c r="CN4" s="9" t="s">
        <v>14</v>
      </c>
      <c r="CO4" s="10">
        <f t="shared" si="30"/>
        <v>346.76</v>
      </c>
      <c r="CP4" s="10">
        <f t="shared" ref="CP4:CP9" si="41">SUM(CA4,BL4,AW4,,AH4,S4,D4)</f>
        <v>348.61</v>
      </c>
      <c r="CQ4" s="11">
        <f t="shared" si="32"/>
        <v>-0.0053067898224376</v>
      </c>
      <c r="CR4" s="10">
        <f t="shared" ref="CR3:CR9" si="42">SUM(CC4,BN4,AY4,,AJ4,U4,F4)</f>
        <v>362.47</v>
      </c>
      <c r="CS4" s="11">
        <f t="shared" si="33"/>
        <v>-0.0433415179187242</v>
      </c>
      <c r="CT4" s="10">
        <f t="shared" si="34"/>
        <v>3.16428571428571</v>
      </c>
      <c r="CU4" s="10">
        <f t="shared" si="35"/>
        <v>3.59571428571429</v>
      </c>
      <c r="CV4" s="9">
        <f t="shared" si="36"/>
        <v>-0.431428571428572</v>
      </c>
      <c r="CW4" s="11">
        <f t="shared" si="37"/>
        <v>-0.119984108065157</v>
      </c>
      <c r="CX4" s="10">
        <f t="shared" si="38"/>
        <v>3.24428571428571</v>
      </c>
      <c r="CY4" s="9">
        <f t="shared" si="39"/>
        <v>-0.0799999999999996</v>
      </c>
      <c r="CZ4" s="11">
        <f t="shared" si="40"/>
        <v>-0.0246587406428885</v>
      </c>
    </row>
    <row r="5" spans="1:104">
      <c r="A5" s="9" t="s">
        <v>15</v>
      </c>
      <c r="B5" s="9" t="s">
        <v>16</v>
      </c>
      <c r="C5" s="10">
        <v>92.23</v>
      </c>
      <c r="D5" s="10">
        <v>107.92</v>
      </c>
      <c r="E5" s="11">
        <f t="shared" si="0"/>
        <v>-0.145385470719051</v>
      </c>
      <c r="F5" s="10">
        <v>107.53</v>
      </c>
      <c r="G5" s="11">
        <f t="shared" si="1"/>
        <v>-0.142285873709662</v>
      </c>
      <c r="H5" s="10">
        <v>5.18</v>
      </c>
      <c r="I5" s="10">
        <v>5.6</v>
      </c>
      <c r="J5" s="9">
        <f t="shared" si="2"/>
        <v>-0.42</v>
      </c>
      <c r="K5" s="11">
        <f t="shared" si="3"/>
        <v>-0.075</v>
      </c>
      <c r="L5" s="10">
        <v>5.27</v>
      </c>
      <c r="M5" s="9">
        <f t="shared" si="4"/>
        <v>-0.0899999999999999</v>
      </c>
      <c r="N5" s="11">
        <f t="shared" si="5"/>
        <v>-0.0170777988614801</v>
      </c>
      <c r="P5" s="9" t="s">
        <v>15</v>
      </c>
      <c r="Q5" s="9" t="s">
        <v>16</v>
      </c>
      <c r="R5" s="10">
        <v>96.57</v>
      </c>
      <c r="S5" s="10">
        <v>119.96</v>
      </c>
      <c r="T5" s="11">
        <f t="shared" si="6"/>
        <v>-0.194981660553518</v>
      </c>
      <c r="U5" s="10">
        <v>92.23</v>
      </c>
      <c r="V5" s="11">
        <f t="shared" si="7"/>
        <v>0.0470562723625718</v>
      </c>
      <c r="W5" s="10">
        <v>5.03</v>
      </c>
      <c r="X5" s="10">
        <v>6.11</v>
      </c>
      <c r="Y5" s="9">
        <f t="shared" si="8"/>
        <v>-1.08</v>
      </c>
      <c r="Z5" s="11">
        <f t="shared" si="9"/>
        <v>-0.176759410801964</v>
      </c>
      <c r="AA5" s="10">
        <v>5.18</v>
      </c>
      <c r="AB5" s="9">
        <f t="shared" si="10"/>
        <v>-0.149999999999999</v>
      </c>
      <c r="AC5" s="11">
        <f t="shared" si="11"/>
        <v>-0.0289575289575289</v>
      </c>
      <c r="AE5" s="9" t="s">
        <v>15</v>
      </c>
      <c r="AF5" s="9" t="s">
        <v>16</v>
      </c>
      <c r="AG5" s="10">
        <v>95.87</v>
      </c>
      <c r="AH5" s="10">
        <v>95.37</v>
      </c>
      <c r="AI5" s="11">
        <f t="shared" si="12"/>
        <v>0.00524273880675263</v>
      </c>
      <c r="AJ5" s="10">
        <v>96.57</v>
      </c>
      <c r="AK5" s="11">
        <f t="shared" si="13"/>
        <v>-0.00724862793828296</v>
      </c>
      <c r="AL5" s="10">
        <v>5.15</v>
      </c>
      <c r="AM5" s="10">
        <v>5.85</v>
      </c>
      <c r="AN5" s="9">
        <f t="shared" si="14"/>
        <v>-0.699999999999999</v>
      </c>
      <c r="AO5" s="11">
        <f t="shared" si="15"/>
        <v>-0.11965811965812</v>
      </c>
      <c r="AP5" s="10">
        <v>5.03</v>
      </c>
      <c r="AQ5" s="9">
        <f t="shared" si="16"/>
        <v>0.12</v>
      </c>
      <c r="AR5" s="11">
        <f t="shared" si="17"/>
        <v>0.0238568588469186</v>
      </c>
      <c r="AT5" s="9" t="s">
        <v>15</v>
      </c>
      <c r="AU5" s="9" t="s">
        <v>16</v>
      </c>
      <c r="AV5" s="10">
        <v>96.39</v>
      </c>
      <c r="AW5" s="10">
        <v>102.16</v>
      </c>
      <c r="AX5" s="11">
        <f t="shared" si="18"/>
        <v>-0.0564800313234142</v>
      </c>
      <c r="AY5" s="10">
        <v>95.87</v>
      </c>
      <c r="AZ5" s="11">
        <f t="shared" si="19"/>
        <v>0.00542401168248663</v>
      </c>
      <c r="BA5" s="10">
        <v>4.94</v>
      </c>
      <c r="BB5" s="10">
        <v>6.03</v>
      </c>
      <c r="BC5" s="9">
        <f t="shared" si="20"/>
        <v>-1.09</v>
      </c>
      <c r="BD5" s="11">
        <f t="shared" si="21"/>
        <v>-0.180762852404643</v>
      </c>
      <c r="BE5" s="10">
        <v>5.15</v>
      </c>
      <c r="BF5" s="9">
        <f t="shared" si="22"/>
        <v>-0.21</v>
      </c>
      <c r="BG5" s="11">
        <f t="shared" si="23"/>
        <v>-0.0407766990291262</v>
      </c>
      <c r="BI5" s="9" t="s">
        <v>15</v>
      </c>
      <c r="BJ5" s="9" t="s">
        <v>16</v>
      </c>
      <c r="BK5" s="10">
        <v>95.8</v>
      </c>
      <c r="BL5" s="10">
        <v>103.1</v>
      </c>
      <c r="BM5" s="11">
        <f t="shared" si="24"/>
        <v>-0.0708050436469447</v>
      </c>
      <c r="BN5" s="10">
        <v>96.39</v>
      </c>
      <c r="BO5" s="11">
        <f t="shared" si="25"/>
        <v>-0.00612096690528063</v>
      </c>
      <c r="BP5" s="10">
        <v>5.16</v>
      </c>
      <c r="BQ5" s="10">
        <v>6.14</v>
      </c>
      <c r="BR5" s="9">
        <f t="shared" si="26"/>
        <v>-0.98</v>
      </c>
      <c r="BS5" s="11">
        <f t="shared" si="27"/>
        <v>-0.159609120521173</v>
      </c>
      <c r="BT5" s="10">
        <v>4.94</v>
      </c>
      <c r="BU5" s="9">
        <f t="shared" si="28"/>
        <v>0.22</v>
      </c>
      <c r="BV5" s="11">
        <f t="shared" si="29"/>
        <v>0.0445344129554655</v>
      </c>
      <c r="BX5" s="9" t="s">
        <v>15</v>
      </c>
      <c r="BY5" s="9" t="s">
        <v>16</v>
      </c>
      <c r="BZ5" s="9">
        <v>94.17</v>
      </c>
      <c r="CA5" s="9">
        <v>103.23</v>
      </c>
      <c r="CB5" s="11">
        <v>-0.0877651845393781</v>
      </c>
      <c r="CC5" s="9">
        <v>95.8</v>
      </c>
      <c r="CD5" s="11">
        <v>-0.0170146137787056</v>
      </c>
      <c r="CE5" s="9">
        <v>5.01</v>
      </c>
      <c r="CF5" s="9">
        <v>5.94</v>
      </c>
      <c r="CG5" s="9">
        <v>-0.930000000000001</v>
      </c>
      <c r="CH5" s="11">
        <v>-0.156565656565657</v>
      </c>
      <c r="CI5" s="9">
        <v>5.16</v>
      </c>
      <c r="CJ5" s="9">
        <v>-0.15</v>
      </c>
      <c r="CK5" s="11">
        <v>-0.0290697674418605</v>
      </c>
      <c r="CM5" s="9" t="s">
        <v>15</v>
      </c>
      <c r="CN5" s="9" t="s">
        <v>16</v>
      </c>
      <c r="CO5" s="10">
        <f t="shared" si="30"/>
        <v>571.03</v>
      </c>
      <c r="CP5" s="10">
        <f t="shared" si="41"/>
        <v>631.74</v>
      </c>
      <c r="CQ5" s="11">
        <f t="shared" si="32"/>
        <v>-0.0960996612530471</v>
      </c>
      <c r="CR5" s="10">
        <f t="shared" si="42"/>
        <v>584.39</v>
      </c>
      <c r="CS5" s="11">
        <f t="shared" si="33"/>
        <v>-0.0228614452677151</v>
      </c>
      <c r="CT5" s="10">
        <f t="shared" si="34"/>
        <v>4.35285714285714</v>
      </c>
      <c r="CU5" s="10">
        <f t="shared" si="35"/>
        <v>5.09571428571429</v>
      </c>
      <c r="CV5" s="9">
        <f t="shared" si="36"/>
        <v>-0.742857142857144</v>
      </c>
      <c r="CW5" s="11">
        <f t="shared" si="37"/>
        <v>-0.145780768152509</v>
      </c>
      <c r="CX5" s="10">
        <f t="shared" si="38"/>
        <v>4.39</v>
      </c>
      <c r="CY5" s="9">
        <f t="shared" si="39"/>
        <v>-0.0371428571428574</v>
      </c>
      <c r="CZ5" s="11">
        <f t="shared" si="40"/>
        <v>-0.00846078750406776</v>
      </c>
    </row>
    <row r="6" spans="1:104">
      <c r="A6" s="9" t="s">
        <v>17</v>
      </c>
      <c r="B6" s="9" t="s">
        <v>18</v>
      </c>
      <c r="C6" s="10">
        <v>105.76</v>
      </c>
      <c r="D6" s="10">
        <v>129.09</v>
      </c>
      <c r="E6" s="11">
        <f t="shared" si="0"/>
        <v>-0.180726624835386</v>
      </c>
      <c r="F6" s="10">
        <v>125.36</v>
      </c>
      <c r="G6" s="11">
        <f t="shared" si="1"/>
        <v>-0.156349712827058</v>
      </c>
      <c r="H6" s="10">
        <v>4</v>
      </c>
      <c r="I6" s="10">
        <v>4.62</v>
      </c>
      <c r="J6" s="9">
        <f t="shared" si="2"/>
        <v>-0.62</v>
      </c>
      <c r="K6" s="11">
        <f t="shared" si="3"/>
        <v>-0.134199134199134</v>
      </c>
      <c r="L6" s="10">
        <v>4.24</v>
      </c>
      <c r="M6" s="9">
        <f t="shared" si="4"/>
        <v>-0.24</v>
      </c>
      <c r="N6" s="11">
        <f t="shared" si="5"/>
        <v>-0.0566037735849058</v>
      </c>
      <c r="P6" s="9" t="s">
        <v>17</v>
      </c>
      <c r="Q6" s="9" t="s">
        <v>18</v>
      </c>
      <c r="R6" s="10">
        <v>120.16</v>
      </c>
      <c r="S6" s="10">
        <v>141.23</v>
      </c>
      <c r="T6" s="11">
        <f t="shared" si="6"/>
        <v>-0.149189265736741</v>
      </c>
      <c r="U6" s="10">
        <v>105.76</v>
      </c>
      <c r="V6" s="11">
        <f t="shared" si="7"/>
        <v>0.136157337367625</v>
      </c>
      <c r="W6" s="10">
        <v>4.18</v>
      </c>
      <c r="X6" s="10">
        <v>4.95</v>
      </c>
      <c r="Y6" s="9">
        <f t="shared" si="8"/>
        <v>-0.77</v>
      </c>
      <c r="Z6" s="11">
        <f t="shared" si="9"/>
        <v>-0.155555555555556</v>
      </c>
      <c r="AA6" s="10">
        <v>4</v>
      </c>
      <c r="AB6" s="9">
        <f t="shared" si="10"/>
        <v>0.18</v>
      </c>
      <c r="AC6" s="11">
        <f t="shared" si="11"/>
        <v>0.0449999999999999</v>
      </c>
      <c r="AE6" s="9" t="s">
        <v>17</v>
      </c>
      <c r="AF6" s="9" t="s">
        <v>18</v>
      </c>
      <c r="AG6" s="10">
        <v>122.34</v>
      </c>
      <c r="AH6" s="10">
        <v>106.37</v>
      </c>
      <c r="AI6" s="11">
        <f t="shared" si="12"/>
        <v>0.150136316630629</v>
      </c>
      <c r="AJ6" s="10">
        <v>120.16</v>
      </c>
      <c r="AK6" s="11">
        <f t="shared" si="13"/>
        <v>0.0181424766977365</v>
      </c>
      <c r="AL6" s="10">
        <v>4.27</v>
      </c>
      <c r="AM6" s="10">
        <v>4.47</v>
      </c>
      <c r="AN6" s="9">
        <f t="shared" si="14"/>
        <v>-0.2</v>
      </c>
      <c r="AO6" s="11">
        <f t="shared" si="15"/>
        <v>-0.0447427293064877</v>
      </c>
      <c r="AP6" s="10">
        <v>4.18</v>
      </c>
      <c r="AQ6" s="9">
        <f t="shared" si="16"/>
        <v>0.0899999999999999</v>
      </c>
      <c r="AR6" s="11">
        <f t="shared" si="17"/>
        <v>0.0215311004784688</v>
      </c>
      <c r="AT6" s="9" t="s">
        <v>17</v>
      </c>
      <c r="AU6" s="9" t="s">
        <v>18</v>
      </c>
      <c r="AV6" s="10">
        <v>112.48</v>
      </c>
      <c r="AW6" s="10">
        <v>109.59</v>
      </c>
      <c r="AX6" s="11">
        <f t="shared" si="18"/>
        <v>0.0263710192535815</v>
      </c>
      <c r="AY6" s="10">
        <v>122.34</v>
      </c>
      <c r="AZ6" s="11">
        <f t="shared" si="19"/>
        <v>-0.0805950629393494</v>
      </c>
      <c r="BA6" s="10">
        <v>3.75</v>
      </c>
      <c r="BB6" s="10">
        <v>4.41</v>
      </c>
      <c r="BC6" s="9">
        <f t="shared" si="20"/>
        <v>-0.66</v>
      </c>
      <c r="BD6" s="11">
        <f t="shared" si="21"/>
        <v>-0.149659863945578</v>
      </c>
      <c r="BE6" s="10">
        <v>4.27</v>
      </c>
      <c r="BF6" s="9">
        <f t="shared" si="22"/>
        <v>-0.52</v>
      </c>
      <c r="BG6" s="11">
        <f t="shared" si="23"/>
        <v>-0.121779859484777</v>
      </c>
      <c r="BI6" s="9" t="s">
        <v>17</v>
      </c>
      <c r="BJ6" s="9" t="s">
        <v>18</v>
      </c>
      <c r="BK6" s="10">
        <v>100.44</v>
      </c>
      <c r="BL6" s="10">
        <v>109.29</v>
      </c>
      <c r="BM6" s="11">
        <f t="shared" si="24"/>
        <v>-0.080977216579742</v>
      </c>
      <c r="BN6" s="10">
        <v>112.48</v>
      </c>
      <c r="BO6" s="11">
        <f t="shared" si="25"/>
        <v>-0.107041251778094</v>
      </c>
      <c r="BP6" s="10">
        <v>3.57</v>
      </c>
      <c r="BQ6" s="10">
        <v>4.46</v>
      </c>
      <c r="BR6" s="9">
        <f t="shared" si="26"/>
        <v>-0.89</v>
      </c>
      <c r="BS6" s="11">
        <f t="shared" si="27"/>
        <v>-0.199551569506726</v>
      </c>
      <c r="BT6" s="10">
        <v>3.75</v>
      </c>
      <c r="BU6" s="9">
        <f t="shared" si="28"/>
        <v>-0.18</v>
      </c>
      <c r="BV6" s="11">
        <f t="shared" si="29"/>
        <v>-0.048</v>
      </c>
      <c r="BX6" s="9" t="s">
        <v>17</v>
      </c>
      <c r="BY6" s="9" t="s">
        <v>18</v>
      </c>
      <c r="BZ6" s="9">
        <v>104.02</v>
      </c>
      <c r="CA6" s="9">
        <v>105.05</v>
      </c>
      <c r="CB6" s="11">
        <v>-0.00980485483103288</v>
      </c>
      <c r="CC6" s="9">
        <v>100.44</v>
      </c>
      <c r="CD6" s="11">
        <v>0.0356431700517721</v>
      </c>
      <c r="CE6" s="9">
        <v>3.59</v>
      </c>
      <c r="CF6" s="9">
        <v>4.36</v>
      </c>
      <c r="CG6" s="9">
        <v>-0.77</v>
      </c>
      <c r="CH6" s="11">
        <v>-0.176605504587156</v>
      </c>
      <c r="CI6" s="9">
        <v>3.57</v>
      </c>
      <c r="CJ6" s="9">
        <v>0.02</v>
      </c>
      <c r="CK6" s="11">
        <v>0.00560224089635852</v>
      </c>
      <c r="CM6" s="9" t="s">
        <v>17</v>
      </c>
      <c r="CN6" s="9" t="s">
        <v>18</v>
      </c>
      <c r="CO6" s="10">
        <f t="shared" si="30"/>
        <v>665.2</v>
      </c>
      <c r="CP6" s="10">
        <f t="shared" si="41"/>
        <v>700.62</v>
      </c>
      <c r="CQ6" s="11">
        <f t="shared" si="32"/>
        <v>-0.0505552225171991</v>
      </c>
      <c r="CR6" s="10">
        <f t="shared" si="42"/>
        <v>686.54</v>
      </c>
      <c r="CS6" s="11">
        <f t="shared" si="33"/>
        <v>-0.0310834037346696</v>
      </c>
      <c r="CT6" s="10">
        <f t="shared" si="34"/>
        <v>3.33714285714286</v>
      </c>
      <c r="CU6" s="10">
        <f t="shared" si="35"/>
        <v>3.89571428571429</v>
      </c>
      <c r="CV6" s="9">
        <f t="shared" si="36"/>
        <v>-0.558571428571428</v>
      </c>
      <c r="CW6" s="11">
        <f t="shared" si="37"/>
        <v>-0.143381004767143</v>
      </c>
      <c r="CX6" s="10">
        <f t="shared" si="38"/>
        <v>3.43</v>
      </c>
      <c r="CY6" s="9">
        <f t="shared" si="39"/>
        <v>-0.0928571428571425</v>
      </c>
      <c r="CZ6" s="11">
        <f t="shared" si="40"/>
        <v>-0.0270720533111203</v>
      </c>
    </row>
    <row r="7" spans="1:104">
      <c r="A7" s="9" t="s">
        <v>19</v>
      </c>
      <c r="B7" s="9" t="s">
        <v>20</v>
      </c>
      <c r="C7" s="10">
        <v>124.82</v>
      </c>
      <c r="D7" s="10">
        <v>126.13</v>
      </c>
      <c r="E7" s="11">
        <f t="shared" si="0"/>
        <v>-0.0103861095694918</v>
      </c>
      <c r="F7" s="10">
        <v>132.15</v>
      </c>
      <c r="G7" s="11">
        <f t="shared" si="1"/>
        <v>-0.0554672720393493</v>
      </c>
      <c r="H7" s="10">
        <v>5.4</v>
      </c>
      <c r="I7" s="10">
        <v>5.67</v>
      </c>
      <c r="J7" s="9">
        <f t="shared" si="2"/>
        <v>-0.27</v>
      </c>
      <c r="K7" s="11">
        <f t="shared" si="3"/>
        <v>-0.0476190476190476</v>
      </c>
      <c r="L7" s="10">
        <v>5.16</v>
      </c>
      <c r="M7" s="9">
        <f t="shared" si="4"/>
        <v>0.24</v>
      </c>
      <c r="N7" s="11">
        <f t="shared" si="5"/>
        <v>0.0465116279069768</v>
      </c>
      <c r="P7" s="9" t="s">
        <v>19</v>
      </c>
      <c r="Q7" s="9" t="s">
        <v>20</v>
      </c>
      <c r="R7" s="10">
        <v>128.99</v>
      </c>
      <c r="S7" s="10">
        <v>136.69</v>
      </c>
      <c r="T7" s="11">
        <f t="shared" si="6"/>
        <v>-0.0563318457824273</v>
      </c>
      <c r="U7" s="10">
        <v>124.82</v>
      </c>
      <c r="V7" s="11">
        <f t="shared" si="7"/>
        <v>0.0334081076750523</v>
      </c>
      <c r="W7" s="10">
        <v>5.24</v>
      </c>
      <c r="X7" s="10">
        <v>5.95</v>
      </c>
      <c r="Y7" s="9">
        <f t="shared" si="8"/>
        <v>-0.71</v>
      </c>
      <c r="Z7" s="11">
        <f t="shared" si="9"/>
        <v>-0.119327731092437</v>
      </c>
      <c r="AA7" s="10">
        <v>5.4</v>
      </c>
      <c r="AB7" s="9">
        <f t="shared" si="10"/>
        <v>-0.16</v>
      </c>
      <c r="AC7" s="11">
        <f t="shared" si="11"/>
        <v>-0.0296296296296297</v>
      </c>
      <c r="AE7" s="9" t="s">
        <v>19</v>
      </c>
      <c r="AF7" s="9" t="s">
        <v>20</v>
      </c>
      <c r="AG7" s="10">
        <v>129</v>
      </c>
      <c r="AH7" s="10">
        <v>105.65</v>
      </c>
      <c r="AI7" s="11">
        <f t="shared" si="12"/>
        <v>0.2210127780407</v>
      </c>
      <c r="AJ7" s="10">
        <v>128.99</v>
      </c>
      <c r="AK7" s="11">
        <f t="shared" si="13"/>
        <v>7.75253895650696e-5</v>
      </c>
      <c r="AL7" s="10">
        <v>5.36</v>
      </c>
      <c r="AM7" s="10">
        <v>5.55</v>
      </c>
      <c r="AN7" s="9">
        <f t="shared" si="14"/>
        <v>-0.19</v>
      </c>
      <c r="AO7" s="11">
        <f t="shared" si="15"/>
        <v>-0.0342342342342341</v>
      </c>
      <c r="AP7" s="10">
        <v>5.24</v>
      </c>
      <c r="AQ7" s="9">
        <f t="shared" si="16"/>
        <v>0.12</v>
      </c>
      <c r="AR7" s="11">
        <f t="shared" si="17"/>
        <v>0.0229007633587786</v>
      </c>
      <c r="AT7" s="9" t="s">
        <v>19</v>
      </c>
      <c r="AU7" s="9" t="s">
        <v>20</v>
      </c>
      <c r="AV7" s="10">
        <v>115.67</v>
      </c>
      <c r="AW7" s="10">
        <v>97.99</v>
      </c>
      <c r="AX7" s="11">
        <f t="shared" si="18"/>
        <v>0.180426574140218</v>
      </c>
      <c r="AY7" s="10">
        <v>129</v>
      </c>
      <c r="AZ7" s="11">
        <f t="shared" si="19"/>
        <v>-0.103333333333333</v>
      </c>
      <c r="BA7" s="10">
        <v>4.77</v>
      </c>
      <c r="BB7" s="10">
        <v>4.97</v>
      </c>
      <c r="BC7" s="9">
        <f t="shared" si="20"/>
        <v>-0.2</v>
      </c>
      <c r="BD7" s="11">
        <f t="shared" si="21"/>
        <v>-0.040241448692153</v>
      </c>
      <c r="BE7" s="10">
        <v>5.36</v>
      </c>
      <c r="BF7" s="9">
        <f t="shared" si="22"/>
        <v>-0.590000000000001</v>
      </c>
      <c r="BG7" s="11">
        <f t="shared" si="23"/>
        <v>-0.110074626865672</v>
      </c>
      <c r="BI7" s="9" t="s">
        <v>19</v>
      </c>
      <c r="BJ7" s="9" t="s">
        <v>20</v>
      </c>
      <c r="BK7" s="10">
        <v>109.34</v>
      </c>
      <c r="BL7" s="10">
        <v>99.26</v>
      </c>
      <c r="BM7" s="11">
        <f t="shared" si="24"/>
        <v>0.101551480959097</v>
      </c>
      <c r="BN7" s="10">
        <v>115.67</v>
      </c>
      <c r="BO7" s="11">
        <f t="shared" si="25"/>
        <v>-0.0547246477046771</v>
      </c>
      <c r="BP7" s="10">
        <v>4.82</v>
      </c>
      <c r="BQ7" s="10">
        <v>5.34</v>
      </c>
      <c r="BR7" s="9">
        <f t="shared" si="26"/>
        <v>-0.52</v>
      </c>
      <c r="BS7" s="11">
        <f t="shared" si="27"/>
        <v>-0.097378277153558</v>
      </c>
      <c r="BT7" s="10">
        <v>4.77</v>
      </c>
      <c r="BU7" s="9">
        <f t="shared" si="28"/>
        <v>0.0500000000000007</v>
      </c>
      <c r="BV7" s="11">
        <f t="shared" si="29"/>
        <v>0.0104821802935011</v>
      </c>
      <c r="BX7" s="9" t="s">
        <v>19</v>
      </c>
      <c r="BY7" s="9" t="s">
        <v>20</v>
      </c>
      <c r="BZ7" s="9">
        <v>110.68</v>
      </c>
      <c r="CA7" s="9">
        <v>95.26</v>
      </c>
      <c r="CB7" s="11">
        <v>0.161872769263069</v>
      </c>
      <c r="CC7" s="9">
        <v>109.34</v>
      </c>
      <c r="CD7" s="11">
        <v>0.0122553502835194</v>
      </c>
      <c r="CE7" s="9">
        <v>4.82</v>
      </c>
      <c r="CF7" s="9">
        <v>5.15</v>
      </c>
      <c r="CG7" s="9">
        <v>-0.33</v>
      </c>
      <c r="CH7" s="11">
        <v>-0.0640776699029126</v>
      </c>
      <c r="CI7" s="9">
        <v>4.82</v>
      </c>
      <c r="CJ7" s="9">
        <v>0</v>
      </c>
      <c r="CK7" s="11">
        <v>0</v>
      </c>
      <c r="CM7" s="9" t="s">
        <v>19</v>
      </c>
      <c r="CN7" s="9" t="s">
        <v>20</v>
      </c>
      <c r="CO7" s="10">
        <f t="shared" si="30"/>
        <v>718.5</v>
      </c>
      <c r="CP7" s="10">
        <f t="shared" si="41"/>
        <v>660.98</v>
      </c>
      <c r="CQ7" s="11">
        <f t="shared" si="32"/>
        <v>0.0870223002208843</v>
      </c>
      <c r="CR7" s="10">
        <f t="shared" si="42"/>
        <v>739.97</v>
      </c>
      <c r="CS7" s="11">
        <f t="shared" si="33"/>
        <v>-0.0290146897847209</v>
      </c>
      <c r="CT7" s="10">
        <f t="shared" si="34"/>
        <v>4.34428571428571</v>
      </c>
      <c r="CU7" s="10">
        <f t="shared" si="35"/>
        <v>4.66142857142857</v>
      </c>
      <c r="CV7" s="9">
        <f t="shared" si="36"/>
        <v>-0.317142857142859</v>
      </c>
      <c r="CW7" s="11">
        <f t="shared" si="37"/>
        <v>-0.0680355501072636</v>
      </c>
      <c r="CX7" s="10">
        <f t="shared" si="38"/>
        <v>4.39285714285714</v>
      </c>
      <c r="CY7" s="9">
        <f t="shared" si="39"/>
        <v>-0.0485714285714289</v>
      </c>
      <c r="CZ7" s="11">
        <f t="shared" si="40"/>
        <v>-0.0110569105691057</v>
      </c>
    </row>
    <row r="8" spans="1:104">
      <c r="A8" s="9" t="s">
        <v>21</v>
      </c>
      <c r="B8" s="9" t="s">
        <v>22</v>
      </c>
      <c r="C8" s="10">
        <v>68.86</v>
      </c>
      <c r="D8" s="10">
        <v>53.45</v>
      </c>
      <c r="E8" s="11">
        <f t="shared" si="0"/>
        <v>0.288306828811974</v>
      </c>
      <c r="F8" s="10">
        <v>86.03</v>
      </c>
      <c r="G8" s="11">
        <f t="shared" si="1"/>
        <v>-0.199581541322794</v>
      </c>
      <c r="H8" s="10">
        <v>3.39</v>
      </c>
      <c r="I8" s="10">
        <v>4.18</v>
      </c>
      <c r="J8" s="9">
        <f t="shared" si="2"/>
        <v>-0.79</v>
      </c>
      <c r="K8" s="11">
        <f t="shared" si="3"/>
        <v>-0.188995215311005</v>
      </c>
      <c r="L8" s="10">
        <v>3.61</v>
      </c>
      <c r="M8" s="9">
        <f t="shared" si="4"/>
        <v>-0.22</v>
      </c>
      <c r="N8" s="11">
        <f t="shared" si="5"/>
        <v>-0.0609418282548476</v>
      </c>
      <c r="P8" s="9" t="s">
        <v>21</v>
      </c>
      <c r="Q8" s="9" t="s">
        <v>22</v>
      </c>
      <c r="R8" s="10">
        <v>88.2</v>
      </c>
      <c r="S8" s="10">
        <v>64.73</v>
      </c>
      <c r="T8" s="11">
        <f t="shared" si="6"/>
        <v>0.362583037231577</v>
      </c>
      <c r="U8" s="10">
        <v>68.86</v>
      </c>
      <c r="V8" s="11">
        <f t="shared" si="7"/>
        <v>0.280859715364508</v>
      </c>
      <c r="W8" s="10">
        <v>3.94</v>
      </c>
      <c r="X8" s="10">
        <v>4.36</v>
      </c>
      <c r="Y8" s="9">
        <f t="shared" si="8"/>
        <v>-0.42</v>
      </c>
      <c r="Z8" s="11">
        <f t="shared" si="9"/>
        <v>-0.0963302752293579</v>
      </c>
      <c r="AA8" s="10">
        <v>3.39</v>
      </c>
      <c r="AB8" s="9">
        <f t="shared" si="10"/>
        <v>0.55</v>
      </c>
      <c r="AC8" s="11">
        <f t="shared" si="11"/>
        <v>0.162241887905605</v>
      </c>
      <c r="AE8" s="9" t="s">
        <v>21</v>
      </c>
      <c r="AF8" s="9" t="s">
        <v>22</v>
      </c>
      <c r="AG8" s="10">
        <v>81.83</v>
      </c>
      <c r="AH8" s="10">
        <v>48.26</v>
      </c>
      <c r="AI8" s="11">
        <f t="shared" si="12"/>
        <v>0.695607128056361</v>
      </c>
      <c r="AJ8" s="10">
        <v>88.2</v>
      </c>
      <c r="AK8" s="11">
        <f t="shared" si="13"/>
        <v>-0.0722222222222223</v>
      </c>
      <c r="AL8" s="10">
        <v>3.81</v>
      </c>
      <c r="AM8" s="10">
        <v>3.32</v>
      </c>
      <c r="AN8" s="9">
        <f t="shared" si="14"/>
        <v>0.49</v>
      </c>
      <c r="AO8" s="11">
        <f t="shared" si="15"/>
        <v>0.147590361445783</v>
      </c>
      <c r="AP8" s="10">
        <v>3.94</v>
      </c>
      <c r="AQ8" s="9">
        <f t="shared" si="16"/>
        <v>-0.13</v>
      </c>
      <c r="AR8" s="11">
        <f t="shared" si="17"/>
        <v>-0.032994923857868</v>
      </c>
      <c r="AT8" s="9" t="s">
        <v>21</v>
      </c>
      <c r="AU8" s="9" t="s">
        <v>22</v>
      </c>
      <c r="AV8" s="10">
        <v>78.5</v>
      </c>
      <c r="AW8" s="10">
        <v>55.44</v>
      </c>
      <c r="AX8" s="11">
        <f t="shared" si="18"/>
        <v>0.415945165945166</v>
      </c>
      <c r="AY8" s="10">
        <v>81.83</v>
      </c>
      <c r="AZ8" s="11">
        <f t="shared" si="19"/>
        <v>-0.0406941219601613</v>
      </c>
      <c r="BA8" s="10">
        <v>3.45</v>
      </c>
      <c r="BB8" s="10">
        <v>3.84</v>
      </c>
      <c r="BC8" s="9">
        <f t="shared" si="20"/>
        <v>-0.39</v>
      </c>
      <c r="BD8" s="11">
        <f t="shared" si="21"/>
        <v>-0.1015625</v>
      </c>
      <c r="BE8" s="10">
        <v>3.81</v>
      </c>
      <c r="BF8" s="9">
        <f t="shared" si="22"/>
        <v>-0.36</v>
      </c>
      <c r="BG8" s="11">
        <f t="shared" si="23"/>
        <v>-0.0944881889763779</v>
      </c>
      <c r="BI8" s="9" t="s">
        <v>21</v>
      </c>
      <c r="BJ8" s="9" t="s">
        <v>22</v>
      </c>
      <c r="BK8" s="10">
        <v>70.97</v>
      </c>
      <c r="BL8" s="10">
        <v>60.83</v>
      </c>
      <c r="BM8" s="11">
        <f t="shared" si="24"/>
        <v>0.166694065428243</v>
      </c>
      <c r="BN8" s="10">
        <v>78.5</v>
      </c>
      <c r="BO8" s="11">
        <f t="shared" si="25"/>
        <v>-0.095923566878981</v>
      </c>
      <c r="BP8" s="10">
        <v>3.23</v>
      </c>
      <c r="BQ8" s="10">
        <v>3.2</v>
      </c>
      <c r="BR8" s="9">
        <f t="shared" si="26"/>
        <v>0.0299999999999998</v>
      </c>
      <c r="BS8" s="11">
        <f t="shared" si="27"/>
        <v>0.00937499999999991</v>
      </c>
      <c r="BT8" s="10">
        <v>3.45</v>
      </c>
      <c r="BU8" s="9">
        <f t="shared" si="28"/>
        <v>-0.22</v>
      </c>
      <c r="BV8" s="11">
        <f t="shared" si="29"/>
        <v>-0.063768115942029</v>
      </c>
      <c r="BX8" s="9" t="s">
        <v>21</v>
      </c>
      <c r="BY8" s="9" t="s">
        <v>22</v>
      </c>
      <c r="BZ8" s="9">
        <v>74.56</v>
      </c>
      <c r="CA8" s="9">
        <v>64.51</v>
      </c>
      <c r="CB8" s="11">
        <v>0.155789800031003</v>
      </c>
      <c r="CC8" s="9">
        <v>70.97</v>
      </c>
      <c r="CD8" s="11">
        <v>0.0505847541214599</v>
      </c>
      <c r="CE8" s="9">
        <v>3.28</v>
      </c>
      <c r="CF8" s="9">
        <v>3.27</v>
      </c>
      <c r="CG8" s="9">
        <v>0.00999999999999979</v>
      </c>
      <c r="CH8" s="11">
        <v>0.00305810397553508</v>
      </c>
      <c r="CI8" s="9">
        <v>3.23</v>
      </c>
      <c r="CJ8" s="9">
        <v>0.0499999999999998</v>
      </c>
      <c r="CK8" s="11">
        <v>0.0154798761609907</v>
      </c>
      <c r="CM8" s="9" t="s">
        <v>21</v>
      </c>
      <c r="CN8" s="9" t="s">
        <v>22</v>
      </c>
      <c r="CO8" s="10">
        <f t="shared" si="30"/>
        <v>462.92</v>
      </c>
      <c r="CP8" s="10">
        <f t="shared" si="41"/>
        <v>347.22</v>
      </c>
      <c r="CQ8" s="11">
        <f t="shared" si="32"/>
        <v>0.333218132596049</v>
      </c>
      <c r="CR8" s="10">
        <f t="shared" si="42"/>
        <v>474.39</v>
      </c>
      <c r="CS8" s="11">
        <f t="shared" si="33"/>
        <v>-0.0241784186007293</v>
      </c>
      <c r="CT8" s="10">
        <f t="shared" si="34"/>
        <v>3.01428571428571</v>
      </c>
      <c r="CU8" s="10">
        <f t="shared" si="35"/>
        <v>3.16714285714286</v>
      </c>
      <c r="CV8" s="9">
        <f t="shared" si="36"/>
        <v>-0.152857142857143</v>
      </c>
      <c r="CW8" s="11">
        <f t="shared" si="37"/>
        <v>-0.0482634190347315</v>
      </c>
      <c r="CX8" s="10">
        <f t="shared" si="38"/>
        <v>3.06142857142857</v>
      </c>
      <c r="CY8" s="9">
        <f t="shared" si="39"/>
        <v>-0.0471428571428567</v>
      </c>
      <c r="CZ8" s="11">
        <f t="shared" si="40"/>
        <v>-0.0153989734017731</v>
      </c>
    </row>
    <row r="9" spans="1:104">
      <c r="A9" s="9" t="s">
        <v>23</v>
      </c>
      <c r="B9" s="9" t="s">
        <v>14</v>
      </c>
      <c r="C9" s="10">
        <v>90.89</v>
      </c>
      <c r="D9" s="10"/>
      <c r="E9" s="11" t="e">
        <f t="shared" si="0"/>
        <v>#DIV/0!</v>
      </c>
      <c r="F9" s="10">
        <v>99.29</v>
      </c>
      <c r="G9" s="11">
        <f t="shared" si="1"/>
        <v>-0.0846006647195086</v>
      </c>
      <c r="H9" s="10">
        <v>3.91</v>
      </c>
      <c r="I9" s="10"/>
      <c r="J9" s="9">
        <f t="shared" si="2"/>
        <v>3.91</v>
      </c>
      <c r="K9" s="11" t="e">
        <f t="shared" si="3"/>
        <v>#DIV/0!</v>
      </c>
      <c r="L9" s="10">
        <v>3.45</v>
      </c>
      <c r="M9" s="9">
        <f t="shared" si="4"/>
        <v>0.46</v>
      </c>
      <c r="N9" s="11">
        <f t="shared" si="5"/>
        <v>0.133333333333333</v>
      </c>
      <c r="P9" s="9" t="s">
        <v>23</v>
      </c>
      <c r="Q9" s="9" t="s">
        <v>14</v>
      </c>
      <c r="R9" s="10">
        <v>105.39</v>
      </c>
      <c r="S9" s="10"/>
      <c r="T9" s="11" t="e">
        <f t="shared" si="6"/>
        <v>#DIV/0!</v>
      </c>
      <c r="U9" s="10">
        <v>90.89</v>
      </c>
      <c r="V9" s="11">
        <f t="shared" si="7"/>
        <v>0.159533502035427</v>
      </c>
      <c r="W9" s="10">
        <v>4.07</v>
      </c>
      <c r="X9" s="10"/>
      <c r="Y9" s="9">
        <f t="shared" si="8"/>
        <v>4.07</v>
      </c>
      <c r="Z9" s="11" t="e">
        <f t="shared" si="9"/>
        <v>#DIV/0!</v>
      </c>
      <c r="AA9" s="10">
        <v>3.91</v>
      </c>
      <c r="AB9" s="9">
        <f t="shared" si="10"/>
        <v>0.16</v>
      </c>
      <c r="AC9" s="11">
        <f t="shared" si="11"/>
        <v>0.040920716112532</v>
      </c>
      <c r="AE9" s="9" t="s">
        <v>23</v>
      </c>
      <c r="AF9" s="9" t="s">
        <v>14</v>
      </c>
      <c r="AG9" s="10">
        <v>97.26</v>
      </c>
      <c r="AH9" s="10"/>
      <c r="AI9" s="11" t="e">
        <f t="shared" si="12"/>
        <v>#DIV/0!</v>
      </c>
      <c r="AJ9" s="10">
        <v>105.39</v>
      </c>
      <c r="AK9" s="11">
        <f t="shared" si="13"/>
        <v>-0.0771420438371762</v>
      </c>
      <c r="AL9" s="10">
        <v>3.77</v>
      </c>
      <c r="AM9" s="10"/>
      <c r="AN9" s="9">
        <f t="shared" si="14"/>
        <v>3.77</v>
      </c>
      <c r="AO9" s="11" t="e">
        <f t="shared" si="15"/>
        <v>#DIV/0!</v>
      </c>
      <c r="AP9" s="10">
        <v>4.07</v>
      </c>
      <c r="AQ9" s="9">
        <f t="shared" si="16"/>
        <v>-0.3</v>
      </c>
      <c r="AR9" s="11">
        <f t="shared" si="17"/>
        <v>-0.0737100737100738</v>
      </c>
      <c r="AT9" s="9" t="s">
        <v>23</v>
      </c>
      <c r="AU9" s="9" t="s">
        <v>14</v>
      </c>
      <c r="AV9" s="10">
        <v>100.73</v>
      </c>
      <c r="AW9" s="10">
        <v>77.08</v>
      </c>
      <c r="AX9" s="11">
        <f t="shared" si="18"/>
        <v>0.306824078879087</v>
      </c>
      <c r="AY9" s="10">
        <v>97.26</v>
      </c>
      <c r="AZ9" s="11">
        <f t="shared" si="19"/>
        <v>0.0356775652889163</v>
      </c>
      <c r="BA9" s="10">
        <v>3.81</v>
      </c>
      <c r="BB9" s="10">
        <v>2.71</v>
      </c>
      <c r="BC9" s="9">
        <f t="shared" si="20"/>
        <v>1.1</v>
      </c>
      <c r="BD9" s="11">
        <f t="shared" si="21"/>
        <v>0.40590405904059</v>
      </c>
      <c r="BE9" s="10">
        <v>3.77</v>
      </c>
      <c r="BF9" s="9">
        <f t="shared" si="22"/>
        <v>0.04</v>
      </c>
      <c r="BG9" s="11">
        <f t="shared" si="23"/>
        <v>0.0106100795755968</v>
      </c>
      <c r="BI9" s="9" t="s">
        <v>23</v>
      </c>
      <c r="BJ9" s="9" t="s">
        <v>14</v>
      </c>
      <c r="BK9" s="10">
        <v>97.21</v>
      </c>
      <c r="BL9" s="10">
        <v>96.39</v>
      </c>
      <c r="BM9" s="11">
        <f t="shared" si="24"/>
        <v>0.00850710654632225</v>
      </c>
      <c r="BN9" s="10">
        <v>100.73</v>
      </c>
      <c r="BO9" s="11">
        <f t="shared" si="25"/>
        <v>-0.0349449022138391</v>
      </c>
      <c r="BP9" s="10">
        <v>3.92</v>
      </c>
      <c r="BQ9" s="10">
        <v>3.5</v>
      </c>
      <c r="BR9" s="9">
        <f t="shared" si="26"/>
        <v>0.42</v>
      </c>
      <c r="BS9" s="11">
        <f t="shared" si="27"/>
        <v>0.12</v>
      </c>
      <c r="BT9" s="10">
        <v>3.81</v>
      </c>
      <c r="BU9" s="9">
        <f t="shared" si="28"/>
        <v>0.11</v>
      </c>
      <c r="BV9" s="11">
        <f t="shared" si="29"/>
        <v>0.0288713910761154</v>
      </c>
      <c r="BX9" s="9" t="s">
        <v>23</v>
      </c>
      <c r="BY9" s="9" t="s">
        <v>14</v>
      </c>
      <c r="BZ9" s="9">
        <v>100.5</v>
      </c>
      <c r="CA9" s="9">
        <v>85.02</v>
      </c>
      <c r="CB9" s="11">
        <v>0.182074805928017</v>
      </c>
      <c r="CC9" s="9">
        <v>97.21</v>
      </c>
      <c r="CD9" s="11">
        <v>0.033844254706306</v>
      </c>
      <c r="CE9" s="9">
        <v>4.15</v>
      </c>
      <c r="CF9" s="9">
        <v>3.09</v>
      </c>
      <c r="CG9" s="9">
        <v>1.06</v>
      </c>
      <c r="CH9" s="11">
        <v>0.343042071197411</v>
      </c>
      <c r="CI9" s="9">
        <v>3.92</v>
      </c>
      <c r="CJ9" s="9">
        <v>0.23</v>
      </c>
      <c r="CK9" s="11">
        <v>0.0586734693877553</v>
      </c>
      <c r="CM9" s="9" t="s">
        <v>23</v>
      </c>
      <c r="CN9" s="9" t="s">
        <v>14</v>
      </c>
      <c r="CO9" s="10">
        <f t="shared" si="30"/>
        <v>591.98</v>
      </c>
      <c r="CP9" s="10">
        <f>SUM(CA9,BL9,AW9,,AH9,S9,D9)*2</f>
        <v>516.98</v>
      </c>
      <c r="CQ9" s="11">
        <f t="shared" si="32"/>
        <v>0.145073310379512</v>
      </c>
      <c r="CR9" s="10">
        <f t="shared" si="42"/>
        <v>590.77</v>
      </c>
      <c r="CS9" s="11">
        <f t="shared" si="33"/>
        <v>0.00204817441643956</v>
      </c>
      <c r="CT9" s="10">
        <f t="shared" si="34"/>
        <v>3.37571428571429</v>
      </c>
      <c r="CU9" s="10">
        <f t="shared" si="35"/>
        <v>2.325</v>
      </c>
      <c r="CV9" s="9">
        <f t="shared" si="36"/>
        <v>1.05071428571429</v>
      </c>
      <c r="CW9" s="11">
        <f t="shared" si="37"/>
        <v>0.451920122887865</v>
      </c>
      <c r="CX9" s="10">
        <f t="shared" si="38"/>
        <v>3.27571428571429</v>
      </c>
      <c r="CY9" s="9">
        <f t="shared" si="39"/>
        <v>0.0999999999999996</v>
      </c>
      <c r="CZ9" s="11">
        <f t="shared" si="40"/>
        <v>0.0305276929786304</v>
      </c>
    </row>
    <row r="10" spans="1:104">
      <c r="A10" s="12" t="s">
        <v>24</v>
      </c>
      <c r="B10" s="4"/>
      <c r="C10" s="10">
        <f t="shared" ref="C10:F10" si="43">SUM(C3:C9)</f>
        <v>638.17</v>
      </c>
      <c r="D10" s="10">
        <f t="shared" si="43"/>
        <v>590.88</v>
      </c>
      <c r="E10" s="11">
        <f t="shared" si="0"/>
        <v>0.0800331708637962</v>
      </c>
      <c r="F10" s="10">
        <f t="shared" si="43"/>
        <v>732.69</v>
      </c>
      <c r="G10" s="11">
        <f t="shared" si="1"/>
        <v>-0.129004080852748</v>
      </c>
      <c r="H10" s="10">
        <f t="shared" ref="H10:J10" si="44">AVERAGE(H3:H9)</f>
        <v>4.30428571428571</v>
      </c>
      <c r="I10" s="10">
        <f t="shared" si="44"/>
        <v>4.93166666666667</v>
      </c>
      <c r="J10" s="9">
        <f t="shared" si="44"/>
        <v>0.0771428571428572</v>
      </c>
      <c r="K10" s="11">
        <f t="shared" si="3"/>
        <v>-0.127214792642302</v>
      </c>
      <c r="L10" s="10">
        <f>AVERAGE(L3:L9)</f>
        <v>4.24571428571429</v>
      </c>
      <c r="M10" s="9">
        <f>AVERAGE(M3:M9)</f>
        <v>0.0585714285714286</v>
      </c>
      <c r="N10" s="11">
        <f t="shared" si="5"/>
        <v>0.0137954239569313</v>
      </c>
      <c r="P10" s="12" t="s">
        <v>24</v>
      </c>
      <c r="Q10" s="4"/>
      <c r="R10" s="10">
        <f t="shared" ref="R10:U10" si="45">SUM(R3:R9)</f>
        <v>718.17</v>
      </c>
      <c r="S10" s="10">
        <f t="shared" si="45"/>
        <v>655.16</v>
      </c>
      <c r="T10" s="11">
        <f t="shared" si="6"/>
        <v>0.0961749801575187</v>
      </c>
      <c r="U10" s="10">
        <f t="shared" si="45"/>
        <v>638.17</v>
      </c>
      <c r="V10" s="11">
        <f t="shared" si="7"/>
        <v>0.125358446808844</v>
      </c>
      <c r="W10" s="10">
        <f t="shared" ref="W10:Y10" si="46">AVERAGE(W3:W9)</f>
        <v>4.47285714285714</v>
      </c>
      <c r="X10" s="10">
        <f t="shared" si="46"/>
        <v>5.29</v>
      </c>
      <c r="Y10" s="9">
        <f t="shared" si="46"/>
        <v>-0.0614285714285716</v>
      </c>
      <c r="Z10" s="11">
        <f t="shared" si="9"/>
        <v>-0.154469349176344</v>
      </c>
      <c r="AA10" s="10">
        <f>AVERAGE(AA3:AA9)</f>
        <v>4.30428571428571</v>
      </c>
      <c r="AB10" s="9">
        <f>AVERAGE(AB3:AB9)</f>
        <v>0.168571428571429</v>
      </c>
      <c r="AC10" s="11">
        <f t="shared" si="11"/>
        <v>0.0391636242947229</v>
      </c>
      <c r="AE10" s="12" t="s">
        <v>24</v>
      </c>
      <c r="AF10" s="4"/>
      <c r="AG10" s="10">
        <f t="shared" ref="AG10:AJ10" si="47">SUM(AG3:AG9)</f>
        <v>691.97</v>
      </c>
      <c r="AH10" s="10">
        <f t="shared" si="47"/>
        <v>517.12</v>
      </c>
      <c r="AI10" s="11">
        <f t="shared" si="12"/>
        <v>0.338122679455445</v>
      </c>
      <c r="AJ10" s="10">
        <f t="shared" si="47"/>
        <v>718.17</v>
      </c>
      <c r="AK10" s="11">
        <f t="shared" si="13"/>
        <v>-0.0364816129885682</v>
      </c>
      <c r="AL10" s="10">
        <f t="shared" ref="AL10:AN10" si="48">AVERAGE(AL3:AL9)</f>
        <v>4.38142857142857</v>
      </c>
      <c r="AM10" s="10">
        <f t="shared" si="48"/>
        <v>4.80333333333333</v>
      </c>
      <c r="AN10" s="9">
        <f t="shared" si="48"/>
        <v>0.264285714285715</v>
      </c>
      <c r="AO10" s="11">
        <f t="shared" si="15"/>
        <v>-0.0878358282938437</v>
      </c>
      <c r="AP10" s="10">
        <f>AVERAGE(AP3:AP9)</f>
        <v>4.47285714285714</v>
      </c>
      <c r="AQ10" s="9">
        <f>AVERAGE(AQ3:AQ9)</f>
        <v>-0.0914285714285713</v>
      </c>
      <c r="AR10" s="11">
        <f t="shared" si="17"/>
        <v>-0.0204407537527946</v>
      </c>
      <c r="AT10" s="12" t="s">
        <v>24</v>
      </c>
      <c r="AU10" s="4"/>
      <c r="AV10" s="10">
        <f t="shared" ref="AV10:AY10" si="49">SUM(AV3:AV9)</f>
        <v>666.18</v>
      </c>
      <c r="AW10" s="10">
        <f t="shared" si="49"/>
        <v>605.66</v>
      </c>
      <c r="AX10" s="11">
        <f t="shared" si="18"/>
        <v>0.0999240497969158</v>
      </c>
      <c r="AY10" s="10">
        <f t="shared" si="49"/>
        <v>691.97</v>
      </c>
      <c r="AZ10" s="11">
        <f t="shared" si="19"/>
        <v>-0.0372704018960359</v>
      </c>
      <c r="BA10" s="10">
        <f t="shared" ref="BA10:BC10" si="50">AVERAGE(BA3:BA9)</f>
        <v>4.05285714285714</v>
      </c>
      <c r="BB10" s="10">
        <f t="shared" si="50"/>
        <v>4.34</v>
      </c>
      <c r="BC10" s="9">
        <f t="shared" si="50"/>
        <v>-0.287142857142857</v>
      </c>
      <c r="BD10" s="11">
        <f t="shared" si="21"/>
        <v>-0.066161948650428</v>
      </c>
      <c r="BE10" s="10">
        <f>AVERAGE(BE3:BE9)</f>
        <v>4.38142857142857</v>
      </c>
      <c r="BF10" s="9">
        <f>AVERAGE(BF3:BF9)</f>
        <v>-0.328571428571429</v>
      </c>
      <c r="BG10" s="11">
        <f t="shared" si="23"/>
        <v>-0.0749918487120964</v>
      </c>
      <c r="BI10" s="12" t="s">
        <v>24</v>
      </c>
      <c r="BJ10" s="4"/>
      <c r="BK10" s="10">
        <f t="shared" ref="BK10:BN10" si="51">SUM(BK3:BK9)</f>
        <v>629.83</v>
      </c>
      <c r="BL10" s="10">
        <f t="shared" si="51"/>
        <v>630.57</v>
      </c>
      <c r="BM10" s="11">
        <f t="shared" si="24"/>
        <v>-0.00117354139905146</v>
      </c>
      <c r="BN10" s="10">
        <f t="shared" si="51"/>
        <v>666.18</v>
      </c>
      <c r="BO10" s="11">
        <f t="shared" si="25"/>
        <v>-0.0545648323275991</v>
      </c>
      <c r="BP10" s="10">
        <f t="shared" ref="BP10:BR10" si="52">AVERAGE(BP3:BP9)</f>
        <v>4.02142857142857</v>
      </c>
      <c r="BQ10" s="10">
        <f t="shared" si="52"/>
        <v>4.41857142857143</v>
      </c>
      <c r="BR10" s="9">
        <f t="shared" si="52"/>
        <v>-0.397142857142857</v>
      </c>
      <c r="BS10" s="11">
        <f t="shared" si="27"/>
        <v>-0.0898803750404138</v>
      </c>
      <c r="BT10" s="10">
        <f>AVERAGE(BT3:BT9)</f>
        <v>4.05285714285714</v>
      </c>
      <c r="BU10" s="9">
        <f>AVERAGE(BU3:BU9)</f>
        <v>-0.0314285714285715</v>
      </c>
      <c r="BV10" s="11">
        <f t="shared" si="29"/>
        <v>-0.00775467042650679</v>
      </c>
      <c r="BX10" s="12" t="s">
        <v>24</v>
      </c>
      <c r="BY10" s="4"/>
      <c r="BZ10" s="9">
        <v>637.75</v>
      </c>
      <c r="CA10" s="9">
        <v>602.2</v>
      </c>
      <c r="CB10" s="11">
        <v>0.0590335436731981</v>
      </c>
      <c r="CC10" s="9">
        <v>629.83</v>
      </c>
      <c r="CD10" s="11">
        <v>0.012574821777305</v>
      </c>
      <c r="CE10" s="9">
        <v>4.01857142857143</v>
      </c>
      <c r="CF10" s="9">
        <v>4.16857142857143</v>
      </c>
      <c r="CG10" s="9">
        <v>-0.15</v>
      </c>
      <c r="CH10" s="11">
        <v>-0.0359835503769704</v>
      </c>
      <c r="CI10" s="9">
        <v>4.02142857142857</v>
      </c>
      <c r="CJ10" s="9">
        <v>-0.00285714285714286</v>
      </c>
      <c r="CK10" s="11">
        <v>-0.000710479573712175</v>
      </c>
      <c r="CM10" s="12" t="s">
        <v>24</v>
      </c>
      <c r="CN10" s="4"/>
      <c r="CO10" s="9">
        <f t="shared" ref="CO10:CR10" si="53">SUM(CO3:CO9)</f>
        <v>3982.07</v>
      </c>
      <c r="CP10" s="9">
        <f t="shared" si="53"/>
        <v>3860.08</v>
      </c>
      <c r="CQ10" s="11">
        <f t="shared" si="32"/>
        <v>0.0316029719591304</v>
      </c>
      <c r="CR10" s="9">
        <f t="shared" si="53"/>
        <v>4077.01</v>
      </c>
      <c r="CS10" s="11">
        <f t="shared" si="33"/>
        <v>-0.0232866733218706</v>
      </c>
      <c r="CT10" s="9">
        <f t="shared" ref="CT10:CV10" si="54">AVERAGE(CT3:CT9)</f>
        <v>3.60734693877551</v>
      </c>
      <c r="CU10" s="9">
        <f t="shared" si="54"/>
        <v>3.82887755102041</v>
      </c>
      <c r="CV10" s="9">
        <f t="shared" si="54"/>
        <v>-0.221530612244898</v>
      </c>
      <c r="CW10" s="11">
        <f t="shared" si="37"/>
        <v>-0.0578578471870586</v>
      </c>
      <c r="CX10" s="9">
        <f>AVERAGE(CX3:CX9)</f>
        <v>3.63979591836735</v>
      </c>
      <c r="CY10" s="9">
        <f>AVERAGE(CY3:CY9)</f>
        <v>-0.0324489795918367</v>
      </c>
      <c r="CZ10" s="11">
        <f t="shared" si="40"/>
        <v>-0.00891505466778797</v>
      </c>
    </row>
    <row r="11" spans="1:104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</row>
    <row r="12" spans="1:104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M12" s="13"/>
      <c r="CN12" s="13"/>
      <c r="CO12" s="15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</row>
    <row r="13" spans="1:10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</row>
    <row r="14" spans="1:10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</row>
    <row r="15" spans="1:104">
      <c r="A15" s="1" t="s">
        <v>0</v>
      </c>
      <c r="B15" s="1" t="s">
        <v>1</v>
      </c>
      <c r="C15" s="2" t="s">
        <v>25</v>
      </c>
      <c r="D15" s="3"/>
      <c r="E15" s="3"/>
      <c r="F15" s="3"/>
      <c r="G15" s="4"/>
      <c r="H15" s="5" t="s">
        <v>3</v>
      </c>
      <c r="I15" s="3"/>
      <c r="J15" s="3"/>
      <c r="K15" s="3"/>
      <c r="L15" s="3"/>
      <c r="M15" s="3"/>
      <c r="N15" s="4"/>
      <c r="P15" s="1" t="s">
        <v>0</v>
      </c>
      <c r="Q15" s="1" t="s">
        <v>1</v>
      </c>
      <c r="R15" s="2" t="s">
        <v>25</v>
      </c>
      <c r="S15" s="3"/>
      <c r="T15" s="3"/>
      <c r="U15" s="3"/>
      <c r="V15" s="4"/>
      <c r="W15" s="5" t="s">
        <v>3</v>
      </c>
      <c r="X15" s="3"/>
      <c r="Y15" s="3"/>
      <c r="Z15" s="3"/>
      <c r="AA15" s="3"/>
      <c r="AB15" s="3"/>
      <c r="AC15" s="4"/>
      <c r="AE15" s="1" t="s">
        <v>0</v>
      </c>
      <c r="AF15" s="1" t="s">
        <v>1</v>
      </c>
      <c r="AG15" s="2" t="s">
        <v>25</v>
      </c>
      <c r="AH15" s="3"/>
      <c r="AI15" s="3"/>
      <c r="AJ15" s="3"/>
      <c r="AK15" s="4"/>
      <c r="AL15" s="5" t="s">
        <v>3</v>
      </c>
      <c r="AM15" s="3"/>
      <c r="AN15" s="3"/>
      <c r="AO15" s="3"/>
      <c r="AP15" s="3"/>
      <c r="AQ15" s="3"/>
      <c r="AR15" s="4"/>
      <c r="AT15" s="1" t="s">
        <v>0</v>
      </c>
      <c r="AU15" s="1" t="s">
        <v>1</v>
      </c>
      <c r="AV15" s="2" t="s">
        <v>25</v>
      </c>
      <c r="AW15" s="3"/>
      <c r="AX15" s="3"/>
      <c r="AY15" s="3"/>
      <c r="AZ15" s="4"/>
      <c r="BA15" s="5" t="s">
        <v>3</v>
      </c>
      <c r="BB15" s="3"/>
      <c r="BC15" s="3"/>
      <c r="BD15" s="3"/>
      <c r="BE15" s="3"/>
      <c r="BF15" s="3"/>
      <c r="BG15" s="4"/>
      <c r="BI15" s="1" t="s">
        <v>0</v>
      </c>
      <c r="BJ15" s="1" t="s">
        <v>1</v>
      </c>
      <c r="BK15" s="2" t="s">
        <v>25</v>
      </c>
      <c r="BL15" s="3"/>
      <c r="BM15" s="3"/>
      <c r="BN15" s="3"/>
      <c r="BO15" s="4"/>
      <c r="BP15" s="5" t="s">
        <v>3</v>
      </c>
      <c r="BQ15" s="3"/>
      <c r="BR15" s="3"/>
      <c r="BS15" s="3"/>
      <c r="BT15" s="3"/>
      <c r="BU15" s="3"/>
      <c r="BV15" s="4"/>
      <c r="BX15" s="1" t="s">
        <v>0</v>
      </c>
      <c r="BY15" s="1" t="s">
        <v>1</v>
      </c>
      <c r="BZ15" s="2" t="s">
        <v>25</v>
      </c>
      <c r="CA15" s="3"/>
      <c r="CB15" s="3"/>
      <c r="CC15" s="3"/>
      <c r="CD15" s="4"/>
      <c r="CE15" s="5" t="s">
        <v>3</v>
      </c>
      <c r="CF15" s="3"/>
      <c r="CG15" s="3"/>
      <c r="CH15" s="3"/>
      <c r="CI15" s="3"/>
      <c r="CJ15" s="3"/>
      <c r="CK15" s="4"/>
      <c r="CM15" s="1" t="s">
        <v>0</v>
      </c>
      <c r="CN15" s="1" t="s">
        <v>1</v>
      </c>
      <c r="CO15" s="2" t="s">
        <v>25</v>
      </c>
      <c r="CP15" s="3"/>
      <c r="CQ15" s="3"/>
      <c r="CR15" s="3"/>
      <c r="CS15" s="4"/>
      <c r="CT15" s="5" t="s">
        <v>3</v>
      </c>
      <c r="CU15" s="3"/>
      <c r="CV15" s="3"/>
      <c r="CW15" s="3"/>
      <c r="CX15" s="3"/>
      <c r="CY15" s="3"/>
      <c r="CZ15" s="4"/>
    </row>
    <row r="16" spans="1:104">
      <c r="A16" s="6"/>
      <c r="B16" s="6"/>
      <c r="C16" s="7" t="s">
        <v>27</v>
      </c>
      <c r="D16" s="7" t="s">
        <v>5</v>
      </c>
      <c r="E16" s="7" t="s">
        <v>6</v>
      </c>
      <c r="F16" s="7" t="s">
        <v>7</v>
      </c>
      <c r="G16" s="7" t="s">
        <v>8</v>
      </c>
      <c r="H16" s="8" t="s">
        <v>27</v>
      </c>
      <c r="I16" s="8" t="s">
        <v>5</v>
      </c>
      <c r="J16" s="8" t="s">
        <v>6</v>
      </c>
      <c r="K16" s="8" t="s">
        <v>9</v>
      </c>
      <c r="L16" s="8" t="s">
        <v>7</v>
      </c>
      <c r="M16" s="8" t="s">
        <v>8</v>
      </c>
      <c r="N16" s="8" t="s">
        <v>10</v>
      </c>
      <c r="P16" s="6"/>
      <c r="Q16" s="6"/>
      <c r="R16" s="7" t="s">
        <v>28</v>
      </c>
      <c r="S16" s="7" t="s">
        <v>5</v>
      </c>
      <c r="T16" s="7" t="s">
        <v>6</v>
      </c>
      <c r="U16" s="7" t="s">
        <v>7</v>
      </c>
      <c r="V16" s="7" t="s">
        <v>8</v>
      </c>
      <c r="W16" s="8" t="s">
        <v>28</v>
      </c>
      <c r="X16" s="8" t="s">
        <v>5</v>
      </c>
      <c r="Y16" s="8" t="s">
        <v>6</v>
      </c>
      <c r="Z16" s="8" t="s">
        <v>9</v>
      </c>
      <c r="AA16" s="8" t="s">
        <v>7</v>
      </c>
      <c r="AB16" s="8" t="s">
        <v>8</v>
      </c>
      <c r="AC16" s="8" t="s">
        <v>10</v>
      </c>
      <c r="AE16" s="6"/>
      <c r="AF16" s="6"/>
      <c r="AG16" s="7" t="s">
        <v>29</v>
      </c>
      <c r="AH16" s="7" t="s">
        <v>5</v>
      </c>
      <c r="AI16" s="7" t="s">
        <v>6</v>
      </c>
      <c r="AJ16" s="7" t="s">
        <v>7</v>
      </c>
      <c r="AK16" s="7" t="s">
        <v>8</v>
      </c>
      <c r="AL16" s="8" t="s">
        <v>29</v>
      </c>
      <c r="AM16" s="8" t="s">
        <v>5</v>
      </c>
      <c r="AN16" s="8" t="s">
        <v>6</v>
      </c>
      <c r="AO16" s="8" t="s">
        <v>9</v>
      </c>
      <c r="AP16" s="8" t="s">
        <v>7</v>
      </c>
      <c r="AQ16" s="8" t="s">
        <v>8</v>
      </c>
      <c r="AR16" s="8" t="s">
        <v>10</v>
      </c>
      <c r="AT16" s="6"/>
      <c r="AU16" s="6"/>
      <c r="AV16" s="7" t="s">
        <v>30</v>
      </c>
      <c r="AW16" s="7" t="s">
        <v>5</v>
      </c>
      <c r="AX16" s="7" t="s">
        <v>6</v>
      </c>
      <c r="AY16" s="7" t="s">
        <v>7</v>
      </c>
      <c r="AZ16" s="7" t="s">
        <v>8</v>
      </c>
      <c r="BA16" s="8" t="s">
        <v>30</v>
      </c>
      <c r="BB16" s="8" t="s">
        <v>5</v>
      </c>
      <c r="BC16" s="8" t="s">
        <v>6</v>
      </c>
      <c r="BD16" s="8" t="s">
        <v>9</v>
      </c>
      <c r="BE16" s="8" t="s">
        <v>7</v>
      </c>
      <c r="BF16" s="8" t="s">
        <v>8</v>
      </c>
      <c r="BG16" s="8" t="s">
        <v>10</v>
      </c>
      <c r="BI16" s="6"/>
      <c r="BJ16" s="6"/>
      <c r="BK16" s="7" t="s">
        <v>31</v>
      </c>
      <c r="BL16" s="7" t="s">
        <v>5</v>
      </c>
      <c r="BM16" s="7" t="s">
        <v>6</v>
      </c>
      <c r="BN16" s="7" t="s">
        <v>7</v>
      </c>
      <c r="BO16" s="7" t="s">
        <v>8</v>
      </c>
      <c r="BP16" s="8" t="s">
        <v>31</v>
      </c>
      <c r="BQ16" s="8" t="s">
        <v>5</v>
      </c>
      <c r="BR16" s="8" t="s">
        <v>6</v>
      </c>
      <c r="BS16" s="8" t="s">
        <v>9</v>
      </c>
      <c r="BT16" s="8" t="s">
        <v>7</v>
      </c>
      <c r="BU16" s="8" t="s">
        <v>8</v>
      </c>
      <c r="BV16" s="8" t="s">
        <v>10</v>
      </c>
      <c r="BX16" s="6"/>
      <c r="BY16" s="6"/>
      <c r="BZ16" s="7" t="s">
        <v>4</v>
      </c>
      <c r="CA16" s="7" t="s">
        <v>5</v>
      </c>
      <c r="CB16" s="7" t="s">
        <v>6</v>
      </c>
      <c r="CC16" s="7" t="s">
        <v>7</v>
      </c>
      <c r="CD16" s="7" t="s">
        <v>8</v>
      </c>
      <c r="CE16" s="8" t="s">
        <v>4</v>
      </c>
      <c r="CF16" s="8" t="s">
        <v>5</v>
      </c>
      <c r="CG16" s="8" t="s">
        <v>6</v>
      </c>
      <c r="CH16" s="8" t="s">
        <v>9</v>
      </c>
      <c r="CI16" s="8" t="s">
        <v>7</v>
      </c>
      <c r="CJ16" s="8" t="s">
        <v>8</v>
      </c>
      <c r="CK16" s="8" t="s">
        <v>10</v>
      </c>
      <c r="CM16" s="6"/>
      <c r="CN16" s="6"/>
      <c r="CO16" s="7" t="s">
        <v>32</v>
      </c>
      <c r="CP16" s="7" t="s">
        <v>5</v>
      </c>
      <c r="CQ16" s="7" t="s">
        <v>6</v>
      </c>
      <c r="CR16" s="7" t="s">
        <v>7</v>
      </c>
      <c r="CS16" s="7" t="s">
        <v>8</v>
      </c>
      <c r="CT16" s="8" t="s">
        <v>32</v>
      </c>
      <c r="CU16" s="8" t="s">
        <v>5</v>
      </c>
      <c r="CV16" s="8" t="s">
        <v>6</v>
      </c>
      <c r="CW16" s="8" t="s">
        <v>9</v>
      </c>
      <c r="CX16" s="8" t="s">
        <v>7</v>
      </c>
      <c r="CY16" s="8" t="s">
        <v>8</v>
      </c>
      <c r="CZ16" s="8" t="s">
        <v>10</v>
      </c>
    </row>
    <row r="17" spans="1:104">
      <c r="A17" s="9" t="s">
        <v>11</v>
      </c>
      <c r="B17" s="9" t="s">
        <v>12</v>
      </c>
      <c r="C17" s="10">
        <v>68.01</v>
      </c>
      <c r="D17" s="10">
        <v>84.46</v>
      </c>
      <c r="E17" s="14">
        <f t="shared" ref="E17:E24" si="55">-(1-C17/D17)</f>
        <v>-0.194766753492778</v>
      </c>
      <c r="F17" s="10">
        <v>80.63</v>
      </c>
      <c r="G17" s="11">
        <f t="shared" ref="G17:G24" si="56">-(1-C17/F17)</f>
        <v>-0.156517425275952</v>
      </c>
      <c r="H17" s="10">
        <v>4.42</v>
      </c>
      <c r="I17" s="10">
        <v>4.87</v>
      </c>
      <c r="J17" s="9">
        <f t="shared" ref="J17:J23" si="57">H17-I17</f>
        <v>-0.45</v>
      </c>
      <c r="K17" s="11">
        <f t="shared" ref="K17:K24" si="58">-(1-H17/I17)</f>
        <v>-0.0924024640657084</v>
      </c>
      <c r="L17" s="10">
        <v>4.29</v>
      </c>
      <c r="M17" s="9">
        <f t="shared" ref="M17:M23" si="59">H17-L17</f>
        <v>0.13</v>
      </c>
      <c r="N17" s="11">
        <f t="shared" ref="N17:N24" si="60">-(1-H17/L17)</f>
        <v>0.0303030303030303</v>
      </c>
      <c r="P17" s="9" t="s">
        <v>11</v>
      </c>
      <c r="Q17" s="9" t="s">
        <v>12</v>
      </c>
      <c r="R17" s="10">
        <v>76.91</v>
      </c>
      <c r="S17" s="10">
        <v>92.07</v>
      </c>
      <c r="T17" s="14">
        <f t="shared" ref="T17:T24" si="61">-(1-R17/S17)</f>
        <v>-0.164657325947648</v>
      </c>
      <c r="U17" s="10">
        <v>68.01</v>
      </c>
      <c r="V17" s="11">
        <f t="shared" ref="V17:V24" si="62">-(1-R17/U17)</f>
        <v>0.130863108366416</v>
      </c>
      <c r="W17" s="10">
        <v>4.42</v>
      </c>
      <c r="X17" s="10">
        <v>5.19</v>
      </c>
      <c r="Y17" s="9">
        <f t="shared" ref="Y17:Y23" si="63">W17-X17</f>
        <v>-0.77</v>
      </c>
      <c r="Z17" s="11">
        <f t="shared" ref="Z17:Z24" si="64">-(1-W17/X17)</f>
        <v>-0.148362235067438</v>
      </c>
      <c r="AA17" s="10">
        <v>4.42</v>
      </c>
      <c r="AB17" s="9">
        <f t="shared" ref="AB17:AB23" si="65">W17-AA17</f>
        <v>0</v>
      </c>
      <c r="AC17" s="11">
        <f t="shared" ref="AC17:AC24" si="66">-(1-W17/AA17)</f>
        <v>0</v>
      </c>
      <c r="AE17" s="9" t="s">
        <v>11</v>
      </c>
      <c r="AF17" s="9" t="s">
        <v>12</v>
      </c>
      <c r="AG17" s="10">
        <v>72.22</v>
      </c>
      <c r="AH17" s="10">
        <v>78.35</v>
      </c>
      <c r="AI17" s="14">
        <f t="shared" ref="AI17:AI24" si="67">-(1-AG17/AH17)</f>
        <v>-0.0782386726228461</v>
      </c>
      <c r="AJ17" s="10">
        <v>76.91</v>
      </c>
      <c r="AK17" s="11">
        <f t="shared" ref="AK17:AK24" si="68">-(1-AG17/AJ17)</f>
        <v>-0.0609803666623325</v>
      </c>
      <c r="AL17" s="10">
        <v>4.23</v>
      </c>
      <c r="AM17" s="10">
        <v>4.85</v>
      </c>
      <c r="AN17" s="9">
        <f t="shared" ref="AN17:AN23" si="69">AL17-AM17</f>
        <v>-0.619999999999999</v>
      </c>
      <c r="AO17" s="11">
        <f t="shared" ref="AO17:AO24" si="70">-(1-AL17/AM17)</f>
        <v>-0.127835051546392</v>
      </c>
      <c r="AP17" s="10">
        <v>4.42</v>
      </c>
      <c r="AQ17" s="9">
        <f t="shared" ref="AQ17:AQ23" si="71">AL17-AP17</f>
        <v>-0.19</v>
      </c>
      <c r="AR17" s="11">
        <f t="shared" ref="AR17:AR24" si="72">-(1-AL17/AP17)</f>
        <v>-0.0429864253393664</v>
      </c>
      <c r="AT17" s="9" t="s">
        <v>11</v>
      </c>
      <c r="AU17" s="9" t="s">
        <v>12</v>
      </c>
      <c r="AV17" s="10">
        <v>73.11</v>
      </c>
      <c r="AW17" s="10">
        <v>79.59</v>
      </c>
      <c r="AX17" s="14">
        <f t="shared" ref="AX17:AX24" si="73">-(1-AV17/AW17)</f>
        <v>-0.081417263475311</v>
      </c>
      <c r="AY17" s="10">
        <v>72.22</v>
      </c>
      <c r="AZ17" s="11">
        <f t="shared" ref="AZ17:AZ24" si="74">-(1-AV17/AY17)</f>
        <v>0.0123234561063417</v>
      </c>
      <c r="BA17" s="10">
        <v>4.17</v>
      </c>
      <c r="BB17" s="10">
        <v>4.55</v>
      </c>
      <c r="BC17" s="9">
        <f t="shared" ref="BC17:BC23" si="75">BA17-BB17</f>
        <v>-0.38</v>
      </c>
      <c r="BD17" s="11">
        <f t="shared" ref="BD17:BD24" si="76">-(1-BA17/BB17)</f>
        <v>-0.0835164835164834</v>
      </c>
      <c r="BE17" s="10">
        <v>4.23</v>
      </c>
      <c r="BF17" s="9">
        <f t="shared" ref="BF17:BF23" si="77">BA17-BE17</f>
        <v>-0.0600000000000005</v>
      </c>
      <c r="BG17" s="11">
        <f t="shared" ref="BG17:BG24" si="78">-(1-BA17/BE17)</f>
        <v>-0.0141843971631207</v>
      </c>
      <c r="BI17" s="9" t="s">
        <v>11</v>
      </c>
      <c r="BJ17" s="9" t="s">
        <v>12</v>
      </c>
      <c r="BK17" s="10">
        <v>73.08</v>
      </c>
      <c r="BL17" s="10">
        <v>81.18</v>
      </c>
      <c r="BM17" s="14">
        <f t="shared" ref="BM17:BM24" si="79">-(1-BK17/BL17)</f>
        <v>-0.0997782705099779</v>
      </c>
      <c r="BN17" s="10">
        <v>73.11</v>
      </c>
      <c r="BO17" s="11">
        <f t="shared" ref="BO17:BO24" si="80">-(1-BK17/BN17)</f>
        <v>-0.000410340582683633</v>
      </c>
      <c r="BP17" s="10">
        <v>4.26</v>
      </c>
      <c r="BQ17" s="10">
        <v>4.63</v>
      </c>
      <c r="BR17" s="9">
        <f t="shared" ref="BR17:BR23" si="81">BP17-BQ17</f>
        <v>-0.37</v>
      </c>
      <c r="BS17" s="11">
        <f t="shared" ref="BS17:BS24" si="82">-(1-BP17/BQ17)</f>
        <v>-0.0799136069114471</v>
      </c>
      <c r="BT17" s="10">
        <v>4.17</v>
      </c>
      <c r="BU17" s="9">
        <f t="shared" ref="BU17:BU23" si="83">BP17-BT17</f>
        <v>0.0899999999999999</v>
      </c>
      <c r="BV17" s="11">
        <f t="shared" ref="BV17:BV24" si="84">-(1-BP17/BT17)</f>
        <v>0.0215827338129495</v>
      </c>
      <c r="BX17" s="9" t="s">
        <v>11</v>
      </c>
      <c r="BY17" s="9" t="s">
        <v>12</v>
      </c>
      <c r="BZ17" s="10">
        <v>71.73</v>
      </c>
      <c r="CA17" s="10">
        <v>77.87</v>
      </c>
      <c r="CB17" s="11">
        <v>-0.0788493643251573</v>
      </c>
      <c r="CC17" s="10">
        <v>73.08</v>
      </c>
      <c r="CD17" s="11">
        <v>-0.0184729064039408</v>
      </c>
      <c r="CE17" s="9">
        <v>4.14</v>
      </c>
      <c r="CF17" s="9">
        <v>4.34</v>
      </c>
      <c r="CG17" s="9">
        <v>-0.2</v>
      </c>
      <c r="CH17" s="11">
        <v>-0.0460829493087558</v>
      </c>
      <c r="CI17" s="9">
        <v>4.26</v>
      </c>
      <c r="CJ17" s="9">
        <v>-0.12</v>
      </c>
      <c r="CK17" s="11">
        <v>-0.0281690140845071</v>
      </c>
      <c r="CM17" s="9" t="s">
        <v>11</v>
      </c>
      <c r="CN17" s="9" t="s">
        <v>12</v>
      </c>
      <c r="CO17" s="10">
        <f t="shared" ref="CO17:CO23" si="85">SUM(BZ17,BK17,AV17,,AG17,R17,C17)</f>
        <v>435.06</v>
      </c>
      <c r="CP17" s="10">
        <f t="shared" ref="CP17:CP23" si="86">SUM(CA17,BL17,AW17,,AH17,S17,D17)</f>
        <v>493.52</v>
      </c>
      <c r="CQ17" s="11">
        <f t="shared" ref="CQ17:CQ24" si="87">-(1-CO17/CP17)</f>
        <v>-0.118455179121414</v>
      </c>
      <c r="CR17" s="10">
        <f t="shared" ref="CR17:CR23" si="88">SUM(CC17,BN17,AY17,,AJ17,U17,F17)</f>
        <v>443.96</v>
      </c>
      <c r="CS17" s="11">
        <f t="shared" ref="CS17:CS24" si="89">-(1-CO17/CR17)</f>
        <v>-0.0200468510676638</v>
      </c>
      <c r="CT17" s="10">
        <f t="shared" ref="CT17:CT23" si="90">AVERAGE(CE17,BP17,BA17,,AL17,W17,H17)</f>
        <v>3.66285714285714</v>
      </c>
      <c r="CU17" s="10">
        <f t="shared" ref="CU17:CU23" si="91">AVERAGE(CF17,BQ17,BB17,,AM17,X17,I17)</f>
        <v>4.06142857142857</v>
      </c>
      <c r="CV17" s="9">
        <f t="shared" ref="CV17:CV23" si="92">CT17-CU17</f>
        <v>-0.398571428571429</v>
      </c>
      <c r="CW17" s="11">
        <f t="shared" ref="CW17:CW24" si="93">-(1-CT17/CU17)</f>
        <v>-0.0981357720717552</v>
      </c>
      <c r="CX17" s="10">
        <f t="shared" ref="CX17:CX23" si="94">AVERAGE(CI17,BT17,BE17,,AP17,AA17,L17)</f>
        <v>3.68428571428571</v>
      </c>
      <c r="CY17" s="9">
        <f t="shared" ref="CY17:CY23" si="95">CT17-CX17</f>
        <v>-0.0214285714285714</v>
      </c>
      <c r="CZ17" s="11">
        <f t="shared" ref="CZ17:CZ24" si="96">-(1-CT17/CX17)</f>
        <v>-0.00581620783249315</v>
      </c>
    </row>
    <row r="18" spans="1:104">
      <c r="A18" s="9" t="s">
        <v>13</v>
      </c>
      <c r="B18" s="9" t="s">
        <v>14</v>
      </c>
      <c r="C18" s="10">
        <v>40.19</v>
      </c>
      <c r="D18" s="10">
        <v>47.08</v>
      </c>
      <c r="E18" s="14">
        <f t="shared" si="55"/>
        <v>-0.146346644010195</v>
      </c>
      <c r="F18" s="10">
        <v>46.14</v>
      </c>
      <c r="G18" s="11">
        <f t="shared" si="56"/>
        <v>-0.128955353272649</v>
      </c>
      <c r="H18" s="10">
        <v>3.83</v>
      </c>
      <c r="I18" s="10">
        <v>4.65</v>
      </c>
      <c r="J18" s="9">
        <f t="shared" si="57"/>
        <v>-0.82</v>
      </c>
      <c r="K18" s="11">
        <f t="shared" si="58"/>
        <v>-0.176344086021505</v>
      </c>
      <c r="L18" s="10">
        <v>3.7</v>
      </c>
      <c r="M18" s="9">
        <f t="shared" si="59"/>
        <v>0.13</v>
      </c>
      <c r="N18" s="11">
        <f t="shared" si="60"/>
        <v>0.035135135135135</v>
      </c>
      <c r="P18" s="9" t="s">
        <v>13</v>
      </c>
      <c r="Q18" s="9" t="s">
        <v>14</v>
      </c>
      <c r="R18" s="10">
        <v>47.45</v>
      </c>
      <c r="S18" s="10">
        <v>53.25</v>
      </c>
      <c r="T18" s="14">
        <f t="shared" si="61"/>
        <v>-0.108920187793427</v>
      </c>
      <c r="U18" s="10">
        <v>40.19</v>
      </c>
      <c r="V18" s="11">
        <f t="shared" si="62"/>
        <v>0.180641950734014</v>
      </c>
      <c r="W18" s="10">
        <v>4.43</v>
      </c>
      <c r="X18" s="10">
        <v>5.18</v>
      </c>
      <c r="Y18" s="9">
        <f t="shared" si="63"/>
        <v>-0.75</v>
      </c>
      <c r="Z18" s="11">
        <f t="shared" si="64"/>
        <v>-0.144787644787645</v>
      </c>
      <c r="AA18" s="10">
        <v>3.83</v>
      </c>
      <c r="AB18" s="9">
        <f t="shared" si="65"/>
        <v>0.6</v>
      </c>
      <c r="AC18" s="11">
        <f t="shared" si="66"/>
        <v>0.156657963446475</v>
      </c>
      <c r="AE18" s="9" t="s">
        <v>13</v>
      </c>
      <c r="AF18" s="9" t="s">
        <v>14</v>
      </c>
      <c r="AG18" s="10">
        <v>42.98</v>
      </c>
      <c r="AH18" s="10">
        <v>43.51</v>
      </c>
      <c r="AI18" s="14">
        <f t="shared" si="67"/>
        <v>-0.0121811077913123</v>
      </c>
      <c r="AJ18" s="10">
        <v>47.45</v>
      </c>
      <c r="AK18" s="11">
        <f t="shared" si="68"/>
        <v>-0.0942044257112752</v>
      </c>
      <c r="AL18" s="10">
        <v>4.08</v>
      </c>
      <c r="AM18" s="10">
        <v>4.78</v>
      </c>
      <c r="AN18" s="9">
        <f t="shared" si="69"/>
        <v>-0.7</v>
      </c>
      <c r="AO18" s="11">
        <f t="shared" si="70"/>
        <v>-0.146443514644351</v>
      </c>
      <c r="AP18" s="10">
        <v>4.43</v>
      </c>
      <c r="AQ18" s="9">
        <f t="shared" si="71"/>
        <v>-0.35</v>
      </c>
      <c r="AR18" s="11">
        <f t="shared" si="72"/>
        <v>-0.0790067720090293</v>
      </c>
      <c r="AT18" s="9" t="s">
        <v>13</v>
      </c>
      <c r="AU18" s="9" t="s">
        <v>14</v>
      </c>
      <c r="AV18" s="10">
        <v>39.82</v>
      </c>
      <c r="AW18" s="10">
        <v>43.73</v>
      </c>
      <c r="AX18" s="14">
        <f t="shared" si="73"/>
        <v>-0.0894123027669791</v>
      </c>
      <c r="AY18" s="10">
        <v>42.98</v>
      </c>
      <c r="AZ18" s="11">
        <f t="shared" si="74"/>
        <v>-0.073522568636575</v>
      </c>
      <c r="BA18" s="10">
        <v>3.48</v>
      </c>
      <c r="BB18" s="10">
        <v>3.87</v>
      </c>
      <c r="BC18" s="9">
        <f t="shared" si="75"/>
        <v>-0.39</v>
      </c>
      <c r="BD18" s="11">
        <f t="shared" si="76"/>
        <v>-0.10077519379845</v>
      </c>
      <c r="BE18" s="10">
        <v>4.08</v>
      </c>
      <c r="BF18" s="9">
        <f t="shared" si="77"/>
        <v>-0.6</v>
      </c>
      <c r="BG18" s="11">
        <f t="shared" si="78"/>
        <v>-0.147058823529412</v>
      </c>
      <c r="BI18" s="9" t="s">
        <v>13</v>
      </c>
      <c r="BJ18" s="9" t="s">
        <v>14</v>
      </c>
      <c r="BK18" s="10">
        <v>35.44</v>
      </c>
      <c r="BL18" s="10">
        <v>40.86</v>
      </c>
      <c r="BM18" s="14">
        <f t="shared" si="79"/>
        <v>-0.132648066568771</v>
      </c>
      <c r="BN18" s="10">
        <v>39.82</v>
      </c>
      <c r="BO18" s="11">
        <f t="shared" si="80"/>
        <v>-0.109994977398292</v>
      </c>
      <c r="BP18" s="10">
        <v>3.19</v>
      </c>
      <c r="BQ18" s="10">
        <v>3.66</v>
      </c>
      <c r="BR18" s="9">
        <f t="shared" si="81"/>
        <v>-0.47</v>
      </c>
      <c r="BS18" s="11">
        <f t="shared" si="82"/>
        <v>-0.128415300546448</v>
      </c>
      <c r="BT18" s="10">
        <v>3.48</v>
      </c>
      <c r="BU18" s="9">
        <f t="shared" si="83"/>
        <v>-0.29</v>
      </c>
      <c r="BV18" s="11">
        <f t="shared" si="84"/>
        <v>-0.0833333333333334</v>
      </c>
      <c r="BX18" s="9" t="s">
        <v>13</v>
      </c>
      <c r="BY18" s="9" t="s">
        <v>14</v>
      </c>
      <c r="BZ18" s="10">
        <v>35.22</v>
      </c>
      <c r="CA18" s="10">
        <v>34.67</v>
      </c>
      <c r="CB18" s="11">
        <v>0.0158638592443034</v>
      </c>
      <c r="CC18" s="10">
        <v>35.44</v>
      </c>
      <c r="CD18" s="11">
        <v>-0.00620767494356655</v>
      </c>
      <c r="CE18" s="9">
        <v>3.14</v>
      </c>
      <c r="CF18" s="9">
        <v>3.03</v>
      </c>
      <c r="CG18" s="9">
        <v>0.11</v>
      </c>
      <c r="CH18" s="11">
        <v>0.0363036303630364</v>
      </c>
      <c r="CI18" s="9">
        <v>3.19</v>
      </c>
      <c r="CJ18" s="9">
        <v>-0.0499999999999998</v>
      </c>
      <c r="CK18" s="11">
        <v>-0.0156739811912225</v>
      </c>
      <c r="CM18" s="9" t="s">
        <v>13</v>
      </c>
      <c r="CN18" s="9" t="s">
        <v>14</v>
      </c>
      <c r="CO18" s="10">
        <f t="shared" si="85"/>
        <v>241.1</v>
      </c>
      <c r="CP18" s="10">
        <f t="shared" si="86"/>
        <v>263.1</v>
      </c>
      <c r="CQ18" s="11">
        <f t="shared" si="87"/>
        <v>-0.0836183960471304</v>
      </c>
      <c r="CR18" s="10">
        <f t="shared" si="88"/>
        <v>252.02</v>
      </c>
      <c r="CS18" s="11">
        <f t="shared" si="89"/>
        <v>-0.0433298944528213</v>
      </c>
      <c r="CT18" s="10">
        <f t="shared" si="90"/>
        <v>3.16428571428571</v>
      </c>
      <c r="CU18" s="10">
        <f t="shared" si="91"/>
        <v>3.59571428571429</v>
      </c>
      <c r="CV18" s="9">
        <f t="shared" si="92"/>
        <v>-0.431428571428572</v>
      </c>
      <c r="CW18" s="11">
        <f t="shared" si="93"/>
        <v>-0.119984108065157</v>
      </c>
      <c r="CX18" s="10">
        <f t="shared" si="94"/>
        <v>3.24428571428571</v>
      </c>
      <c r="CY18" s="9">
        <f t="shared" si="95"/>
        <v>-0.0799999999999996</v>
      </c>
      <c r="CZ18" s="11">
        <f t="shared" si="96"/>
        <v>-0.0246587406428885</v>
      </c>
    </row>
    <row r="19" spans="1:104">
      <c r="A19" s="9" t="s">
        <v>15</v>
      </c>
      <c r="B19" s="9" t="s">
        <v>16</v>
      </c>
      <c r="C19" s="10">
        <v>64.12</v>
      </c>
      <c r="D19" s="10">
        <v>81.45</v>
      </c>
      <c r="E19" s="14">
        <f t="shared" si="55"/>
        <v>-0.212768569674647</v>
      </c>
      <c r="F19" s="10">
        <v>74.77</v>
      </c>
      <c r="G19" s="11">
        <f t="shared" si="56"/>
        <v>-0.142436806205697</v>
      </c>
      <c r="H19" s="10">
        <v>5.18</v>
      </c>
      <c r="I19" s="10">
        <v>5.6</v>
      </c>
      <c r="J19" s="9">
        <f t="shared" si="57"/>
        <v>-0.42</v>
      </c>
      <c r="K19" s="11">
        <f t="shared" si="58"/>
        <v>-0.075</v>
      </c>
      <c r="L19" s="10">
        <v>5.27</v>
      </c>
      <c r="M19" s="9">
        <f t="shared" si="59"/>
        <v>-0.0899999999999999</v>
      </c>
      <c r="N19" s="11">
        <f t="shared" si="60"/>
        <v>-0.0170777988614801</v>
      </c>
      <c r="P19" s="9" t="s">
        <v>15</v>
      </c>
      <c r="Q19" s="9" t="s">
        <v>16</v>
      </c>
      <c r="R19" s="10">
        <v>67.14</v>
      </c>
      <c r="S19" s="10">
        <v>90.53</v>
      </c>
      <c r="T19" s="14">
        <f t="shared" si="61"/>
        <v>-0.258367392024743</v>
      </c>
      <c r="U19" s="10">
        <v>64.12</v>
      </c>
      <c r="V19" s="11">
        <f t="shared" si="62"/>
        <v>0.0470991890205863</v>
      </c>
      <c r="W19" s="10">
        <v>5.03</v>
      </c>
      <c r="X19" s="10">
        <v>6.11</v>
      </c>
      <c r="Y19" s="9">
        <f t="shared" si="63"/>
        <v>-1.08</v>
      </c>
      <c r="Z19" s="11">
        <f t="shared" si="64"/>
        <v>-0.176759410801964</v>
      </c>
      <c r="AA19" s="10">
        <v>5.18</v>
      </c>
      <c r="AB19" s="9">
        <f t="shared" si="65"/>
        <v>-0.149999999999999</v>
      </c>
      <c r="AC19" s="11">
        <f t="shared" si="66"/>
        <v>-0.0289575289575289</v>
      </c>
      <c r="AE19" s="9" t="s">
        <v>15</v>
      </c>
      <c r="AF19" s="9" t="s">
        <v>16</v>
      </c>
      <c r="AG19" s="10">
        <v>66.66</v>
      </c>
      <c r="AH19" s="10">
        <v>71.98</v>
      </c>
      <c r="AI19" s="14">
        <f t="shared" si="67"/>
        <v>-0.0739094192831343</v>
      </c>
      <c r="AJ19" s="10">
        <v>67.14</v>
      </c>
      <c r="AK19" s="11">
        <f t="shared" si="68"/>
        <v>-0.0071492403932083</v>
      </c>
      <c r="AL19" s="10">
        <v>5.15</v>
      </c>
      <c r="AM19" s="10">
        <v>5.85</v>
      </c>
      <c r="AN19" s="9">
        <f t="shared" si="69"/>
        <v>-0.699999999999999</v>
      </c>
      <c r="AO19" s="11">
        <f t="shared" si="70"/>
        <v>-0.11965811965812</v>
      </c>
      <c r="AP19" s="10">
        <v>5.03</v>
      </c>
      <c r="AQ19" s="9">
        <f t="shared" si="71"/>
        <v>0.12</v>
      </c>
      <c r="AR19" s="11">
        <f t="shared" si="72"/>
        <v>0.0238568588469186</v>
      </c>
      <c r="AT19" s="9" t="s">
        <v>15</v>
      </c>
      <c r="AU19" s="9" t="s">
        <v>16</v>
      </c>
      <c r="AV19" s="10">
        <v>67.02</v>
      </c>
      <c r="AW19" s="10">
        <v>77.1</v>
      </c>
      <c r="AX19" s="14">
        <f t="shared" si="73"/>
        <v>-0.130739299610895</v>
      </c>
      <c r="AY19" s="10">
        <v>66.66</v>
      </c>
      <c r="AZ19" s="11">
        <f t="shared" si="74"/>
        <v>0.00540054005400536</v>
      </c>
      <c r="BA19" s="10">
        <v>4.94</v>
      </c>
      <c r="BB19" s="10">
        <v>6.03</v>
      </c>
      <c r="BC19" s="9">
        <f t="shared" si="75"/>
        <v>-1.09</v>
      </c>
      <c r="BD19" s="11">
        <f t="shared" si="76"/>
        <v>-0.180762852404643</v>
      </c>
      <c r="BE19" s="10">
        <v>5.15</v>
      </c>
      <c r="BF19" s="9">
        <f t="shared" si="77"/>
        <v>-0.21</v>
      </c>
      <c r="BG19" s="11">
        <f t="shared" si="78"/>
        <v>-0.0407766990291262</v>
      </c>
      <c r="BI19" s="9" t="s">
        <v>15</v>
      </c>
      <c r="BJ19" s="9" t="s">
        <v>16</v>
      </c>
      <c r="BK19" s="10">
        <v>66.61</v>
      </c>
      <c r="BL19" s="10">
        <v>77.81</v>
      </c>
      <c r="BM19" s="14">
        <f t="shared" si="79"/>
        <v>-0.14394036756201</v>
      </c>
      <c r="BN19" s="10">
        <v>67.02</v>
      </c>
      <c r="BO19" s="11">
        <f t="shared" si="80"/>
        <v>-0.00611757684273351</v>
      </c>
      <c r="BP19" s="10">
        <v>5.16</v>
      </c>
      <c r="BQ19" s="10">
        <v>6.14</v>
      </c>
      <c r="BR19" s="9">
        <f t="shared" si="81"/>
        <v>-0.98</v>
      </c>
      <c r="BS19" s="11">
        <f t="shared" si="82"/>
        <v>-0.159609120521173</v>
      </c>
      <c r="BT19" s="10">
        <v>4.94</v>
      </c>
      <c r="BU19" s="9">
        <f t="shared" si="83"/>
        <v>0.22</v>
      </c>
      <c r="BV19" s="11">
        <f t="shared" si="84"/>
        <v>0.0445344129554655</v>
      </c>
      <c r="BX19" s="9" t="s">
        <v>15</v>
      </c>
      <c r="BY19" s="9" t="s">
        <v>16</v>
      </c>
      <c r="BZ19" s="10">
        <v>65.48</v>
      </c>
      <c r="CA19" s="10">
        <v>77.91</v>
      </c>
      <c r="CB19" s="11">
        <v>-0.159543062508022</v>
      </c>
      <c r="CC19" s="10">
        <v>66.61</v>
      </c>
      <c r="CD19" s="11">
        <v>-0.0169644197567932</v>
      </c>
      <c r="CE19" s="9">
        <v>5.01</v>
      </c>
      <c r="CF19" s="9">
        <v>5.94</v>
      </c>
      <c r="CG19" s="9">
        <v>-0.930000000000001</v>
      </c>
      <c r="CH19" s="11">
        <v>-0.156565656565657</v>
      </c>
      <c r="CI19" s="9">
        <v>5.16</v>
      </c>
      <c r="CJ19" s="9">
        <v>-0.15</v>
      </c>
      <c r="CK19" s="11">
        <v>-0.0290697674418605</v>
      </c>
      <c r="CM19" s="9" t="s">
        <v>15</v>
      </c>
      <c r="CN19" s="9" t="s">
        <v>16</v>
      </c>
      <c r="CO19" s="10">
        <f t="shared" si="85"/>
        <v>397.03</v>
      </c>
      <c r="CP19" s="10">
        <f t="shared" si="86"/>
        <v>476.78</v>
      </c>
      <c r="CQ19" s="11">
        <f t="shared" si="87"/>
        <v>-0.167267922312178</v>
      </c>
      <c r="CR19" s="10">
        <f t="shared" si="88"/>
        <v>406.32</v>
      </c>
      <c r="CS19" s="11">
        <f t="shared" si="89"/>
        <v>-0.0228637527072258</v>
      </c>
      <c r="CT19" s="10">
        <f t="shared" si="90"/>
        <v>4.35285714285714</v>
      </c>
      <c r="CU19" s="10">
        <f t="shared" si="91"/>
        <v>5.09571428571429</v>
      </c>
      <c r="CV19" s="9">
        <f t="shared" si="92"/>
        <v>-0.742857142857144</v>
      </c>
      <c r="CW19" s="11">
        <f t="shared" si="93"/>
        <v>-0.145780768152509</v>
      </c>
      <c r="CX19" s="10">
        <f t="shared" si="94"/>
        <v>4.39</v>
      </c>
      <c r="CY19" s="9">
        <f t="shared" si="95"/>
        <v>-0.0371428571428574</v>
      </c>
      <c r="CZ19" s="11">
        <f t="shared" si="96"/>
        <v>-0.00846078750406776</v>
      </c>
    </row>
    <row r="20" spans="1:104">
      <c r="A20" s="9" t="s">
        <v>17</v>
      </c>
      <c r="B20" s="9" t="s">
        <v>18</v>
      </c>
      <c r="C20" s="10">
        <v>73.54</v>
      </c>
      <c r="D20" s="10">
        <v>97.42</v>
      </c>
      <c r="E20" s="14">
        <f t="shared" si="55"/>
        <v>-0.245124204475467</v>
      </c>
      <c r="F20" s="10">
        <v>87.16</v>
      </c>
      <c r="G20" s="11">
        <f t="shared" si="56"/>
        <v>-0.156264341441028</v>
      </c>
      <c r="H20" s="10">
        <v>4</v>
      </c>
      <c r="I20" s="10">
        <v>4.62</v>
      </c>
      <c r="J20" s="9">
        <f t="shared" si="57"/>
        <v>-0.62</v>
      </c>
      <c r="K20" s="11">
        <f t="shared" si="58"/>
        <v>-0.134199134199134</v>
      </c>
      <c r="L20" s="10">
        <v>4.24</v>
      </c>
      <c r="M20" s="9">
        <f t="shared" si="59"/>
        <v>-0.24</v>
      </c>
      <c r="N20" s="11">
        <f t="shared" si="60"/>
        <v>-0.0566037735849058</v>
      </c>
      <c r="P20" s="9" t="s">
        <v>17</v>
      </c>
      <c r="Q20" s="9" t="s">
        <v>18</v>
      </c>
      <c r="R20" s="10">
        <v>83.55</v>
      </c>
      <c r="S20" s="10">
        <v>106.58</v>
      </c>
      <c r="T20" s="14">
        <f t="shared" si="61"/>
        <v>-0.216081816475887</v>
      </c>
      <c r="U20" s="10">
        <v>73.54</v>
      </c>
      <c r="V20" s="11">
        <f t="shared" si="62"/>
        <v>0.136116399238509</v>
      </c>
      <c r="W20" s="10">
        <v>4.18</v>
      </c>
      <c r="X20" s="10">
        <v>4.95</v>
      </c>
      <c r="Y20" s="9">
        <f t="shared" si="63"/>
        <v>-0.77</v>
      </c>
      <c r="Z20" s="11">
        <f t="shared" si="64"/>
        <v>-0.155555555555556</v>
      </c>
      <c r="AA20" s="10">
        <v>4</v>
      </c>
      <c r="AB20" s="9">
        <f t="shared" si="65"/>
        <v>0.18</v>
      </c>
      <c r="AC20" s="11">
        <f t="shared" si="66"/>
        <v>0.0449999999999999</v>
      </c>
      <c r="AE20" s="9" t="s">
        <v>17</v>
      </c>
      <c r="AF20" s="9" t="s">
        <v>18</v>
      </c>
      <c r="AG20" s="10">
        <v>85.06</v>
      </c>
      <c r="AH20" s="10">
        <v>80.28</v>
      </c>
      <c r="AI20" s="14">
        <f t="shared" si="67"/>
        <v>0.0595416043846537</v>
      </c>
      <c r="AJ20" s="10">
        <v>83.55</v>
      </c>
      <c r="AK20" s="11">
        <f t="shared" si="68"/>
        <v>0.0180730101735489</v>
      </c>
      <c r="AL20" s="10">
        <v>4.27</v>
      </c>
      <c r="AM20" s="10">
        <v>4.47</v>
      </c>
      <c r="AN20" s="9">
        <f t="shared" si="69"/>
        <v>-0.2</v>
      </c>
      <c r="AO20" s="11">
        <f t="shared" si="70"/>
        <v>-0.0447427293064877</v>
      </c>
      <c r="AP20" s="10">
        <v>4.18</v>
      </c>
      <c r="AQ20" s="9">
        <f t="shared" si="71"/>
        <v>0.0899999999999999</v>
      </c>
      <c r="AR20" s="11">
        <f t="shared" si="72"/>
        <v>0.0215311004784688</v>
      </c>
      <c r="AT20" s="9" t="s">
        <v>17</v>
      </c>
      <c r="AU20" s="9" t="s">
        <v>18</v>
      </c>
      <c r="AV20" s="10">
        <v>78.21</v>
      </c>
      <c r="AW20" s="10">
        <v>82.71</v>
      </c>
      <c r="AX20" s="14">
        <f t="shared" si="73"/>
        <v>-0.0544069640914037</v>
      </c>
      <c r="AY20" s="10">
        <v>85.06</v>
      </c>
      <c r="AZ20" s="11">
        <f t="shared" si="74"/>
        <v>-0.0805313896073361</v>
      </c>
      <c r="BA20" s="10">
        <v>3.75</v>
      </c>
      <c r="BB20" s="10">
        <v>4.41</v>
      </c>
      <c r="BC20" s="9">
        <f t="shared" si="75"/>
        <v>-0.66</v>
      </c>
      <c r="BD20" s="11">
        <f t="shared" si="76"/>
        <v>-0.149659863945578</v>
      </c>
      <c r="BE20" s="10">
        <v>4.27</v>
      </c>
      <c r="BF20" s="9">
        <f t="shared" si="77"/>
        <v>-0.52</v>
      </c>
      <c r="BG20" s="11">
        <f t="shared" si="78"/>
        <v>-0.121779859484777</v>
      </c>
      <c r="BI20" s="9" t="s">
        <v>17</v>
      </c>
      <c r="BJ20" s="9" t="s">
        <v>18</v>
      </c>
      <c r="BK20" s="10">
        <v>69.83</v>
      </c>
      <c r="BL20" s="10">
        <v>82.48</v>
      </c>
      <c r="BM20" s="14">
        <f t="shared" si="79"/>
        <v>-0.153370514064016</v>
      </c>
      <c r="BN20" s="10">
        <v>78.21</v>
      </c>
      <c r="BO20" s="11">
        <f t="shared" si="80"/>
        <v>-0.10714742360312</v>
      </c>
      <c r="BP20" s="10">
        <v>3.57</v>
      </c>
      <c r="BQ20" s="10">
        <v>4.46</v>
      </c>
      <c r="BR20" s="9">
        <f t="shared" si="81"/>
        <v>-0.89</v>
      </c>
      <c r="BS20" s="11">
        <f t="shared" si="82"/>
        <v>-0.199551569506726</v>
      </c>
      <c r="BT20" s="10">
        <v>3.75</v>
      </c>
      <c r="BU20" s="9">
        <f t="shared" si="83"/>
        <v>-0.18</v>
      </c>
      <c r="BV20" s="11">
        <f t="shared" si="84"/>
        <v>-0.048</v>
      </c>
      <c r="BX20" s="9" t="s">
        <v>17</v>
      </c>
      <c r="BY20" s="9" t="s">
        <v>18</v>
      </c>
      <c r="BZ20" s="10">
        <v>72.32</v>
      </c>
      <c r="CA20" s="10">
        <v>79.28</v>
      </c>
      <c r="CB20" s="11">
        <v>-0.087790110998991</v>
      </c>
      <c r="CC20" s="10">
        <v>69.83</v>
      </c>
      <c r="CD20" s="11">
        <v>0.0356580266361162</v>
      </c>
      <c r="CE20" s="9">
        <v>3.59</v>
      </c>
      <c r="CF20" s="9">
        <v>4.36</v>
      </c>
      <c r="CG20" s="9">
        <v>-0.77</v>
      </c>
      <c r="CH20" s="11">
        <v>-0.176605504587156</v>
      </c>
      <c r="CI20" s="9">
        <v>3.57</v>
      </c>
      <c r="CJ20" s="9">
        <v>0.02</v>
      </c>
      <c r="CK20" s="11">
        <v>0.00560224089635852</v>
      </c>
      <c r="CM20" s="9" t="s">
        <v>17</v>
      </c>
      <c r="CN20" s="9" t="s">
        <v>18</v>
      </c>
      <c r="CO20" s="10">
        <f t="shared" si="85"/>
        <v>462.51</v>
      </c>
      <c r="CP20" s="10">
        <f t="shared" si="86"/>
        <v>528.75</v>
      </c>
      <c r="CQ20" s="11">
        <f t="shared" si="87"/>
        <v>-0.125276595744681</v>
      </c>
      <c r="CR20" s="10">
        <f t="shared" si="88"/>
        <v>477.35</v>
      </c>
      <c r="CS20" s="11">
        <f t="shared" si="89"/>
        <v>-0.0310882999895256</v>
      </c>
      <c r="CT20" s="10">
        <f t="shared" si="90"/>
        <v>3.33714285714286</v>
      </c>
      <c r="CU20" s="10">
        <f t="shared" si="91"/>
        <v>3.89571428571429</v>
      </c>
      <c r="CV20" s="9">
        <f t="shared" si="92"/>
        <v>-0.558571428571428</v>
      </c>
      <c r="CW20" s="11">
        <f t="shared" si="93"/>
        <v>-0.143381004767143</v>
      </c>
      <c r="CX20" s="10">
        <f t="shared" si="94"/>
        <v>3.43</v>
      </c>
      <c r="CY20" s="9">
        <f t="shared" si="95"/>
        <v>-0.0928571428571425</v>
      </c>
      <c r="CZ20" s="11">
        <f t="shared" si="96"/>
        <v>-0.0270720533111203</v>
      </c>
    </row>
    <row r="21" spans="1:104">
      <c r="A21" s="9" t="s">
        <v>19</v>
      </c>
      <c r="B21" s="9" t="s">
        <v>20</v>
      </c>
      <c r="C21" s="10">
        <v>86.78</v>
      </c>
      <c r="D21" s="10">
        <v>95.19</v>
      </c>
      <c r="E21" s="14">
        <f t="shared" si="55"/>
        <v>-0.088349616556361</v>
      </c>
      <c r="F21" s="10">
        <v>91.88</v>
      </c>
      <c r="G21" s="11">
        <f t="shared" si="56"/>
        <v>-0.0555071832825423</v>
      </c>
      <c r="H21" s="10">
        <v>5.4</v>
      </c>
      <c r="I21" s="10">
        <v>5.67</v>
      </c>
      <c r="J21" s="9">
        <f t="shared" si="57"/>
        <v>-0.27</v>
      </c>
      <c r="K21" s="11">
        <f t="shared" si="58"/>
        <v>-0.0476190476190476</v>
      </c>
      <c r="L21" s="10">
        <v>5.16</v>
      </c>
      <c r="M21" s="9">
        <f t="shared" si="59"/>
        <v>0.24</v>
      </c>
      <c r="N21" s="11">
        <f t="shared" si="60"/>
        <v>0.0465116279069768</v>
      </c>
      <c r="P21" s="9" t="s">
        <v>19</v>
      </c>
      <c r="Q21" s="9" t="s">
        <v>20</v>
      </c>
      <c r="R21" s="10">
        <v>89.69</v>
      </c>
      <c r="S21" s="10">
        <v>103.16</v>
      </c>
      <c r="T21" s="14">
        <f t="shared" si="61"/>
        <v>-0.130573865839473</v>
      </c>
      <c r="U21" s="10">
        <v>86.78</v>
      </c>
      <c r="V21" s="11">
        <f t="shared" si="62"/>
        <v>0.0335330721364369</v>
      </c>
      <c r="W21" s="10">
        <v>5.24</v>
      </c>
      <c r="X21" s="10">
        <v>5.95</v>
      </c>
      <c r="Y21" s="9">
        <f t="shared" si="63"/>
        <v>-0.71</v>
      </c>
      <c r="Z21" s="11">
        <f t="shared" si="64"/>
        <v>-0.119327731092437</v>
      </c>
      <c r="AA21" s="10">
        <v>5.4</v>
      </c>
      <c r="AB21" s="9">
        <f t="shared" si="65"/>
        <v>-0.16</v>
      </c>
      <c r="AC21" s="11">
        <f t="shared" si="66"/>
        <v>-0.0296296296296297</v>
      </c>
      <c r="AE21" s="9" t="s">
        <v>19</v>
      </c>
      <c r="AF21" s="9" t="s">
        <v>20</v>
      </c>
      <c r="AG21" s="10">
        <v>89.69</v>
      </c>
      <c r="AH21" s="10">
        <v>79.74</v>
      </c>
      <c r="AI21" s="14">
        <f t="shared" si="67"/>
        <v>0.124780536744419</v>
      </c>
      <c r="AJ21" s="10">
        <v>89.69</v>
      </c>
      <c r="AK21" s="11">
        <f t="shared" si="68"/>
        <v>0</v>
      </c>
      <c r="AL21" s="10">
        <v>5.36</v>
      </c>
      <c r="AM21" s="10">
        <v>5.55</v>
      </c>
      <c r="AN21" s="9">
        <f t="shared" si="69"/>
        <v>-0.19</v>
      </c>
      <c r="AO21" s="11">
        <f t="shared" si="70"/>
        <v>-0.0342342342342341</v>
      </c>
      <c r="AP21" s="10">
        <v>5.24</v>
      </c>
      <c r="AQ21" s="9">
        <f t="shared" si="71"/>
        <v>0.12</v>
      </c>
      <c r="AR21" s="11">
        <f t="shared" si="72"/>
        <v>0.0229007633587786</v>
      </c>
      <c r="AT21" s="9" t="s">
        <v>19</v>
      </c>
      <c r="AU21" s="9" t="s">
        <v>20</v>
      </c>
      <c r="AV21" s="10">
        <v>80.43</v>
      </c>
      <c r="AW21" s="10">
        <v>73.95</v>
      </c>
      <c r="AX21" s="14">
        <f t="shared" si="73"/>
        <v>0.0876267748478703</v>
      </c>
      <c r="AY21" s="10">
        <v>89.69</v>
      </c>
      <c r="AZ21" s="11">
        <f t="shared" si="74"/>
        <v>-0.103244508863864</v>
      </c>
      <c r="BA21" s="10">
        <v>4.77</v>
      </c>
      <c r="BB21" s="10">
        <v>4.97</v>
      </c>
      <c r="BC21" s="9">
        <f t="shared" si="75"/>
        <v>-0.2</v>
      </c>
      <c r="BD21" s="11">
        <f t="shared" si="76"/>
        <v>-0.040241448692153</v>
      </c>
      <c r="BE21" s="10">
        <v>5.36</v>
      </c>
      <c r="BF21" s="9">
        <f t="shared" si="77"/>
        <v>-0.590000000000001</v>
      </c>
      <c r="BG21" s="11">
        <f t="shared" si="78"/>
        <v>-0.110074626865672</v>
      </c>
      <c r="BI21" s="9" t="s">
        <v>19</v>
      </c>
      <c r="BJ21" s="9" t="s">
        <v>20</v>
      </c>
      <c r="BK21" s="10">
        <v>76.02</v>
      </c>
      <c r="BL21" s="10">
        <v>74.91</v>
      </c>
      <c r="BM21" s="14">
        <f t="shared" si="79"/>
        <v>0.0148177813376051</v>
      </c>
      <c r="BN21" s="10">
        <v>80.43</v>
      </c>
      <c r="BO21" s="11">
        <f t="shared" si="80"/>
        <v>-0.0548302872062665</v>
      </c>
      <c r="BP21" s="10">
        <v>4.82</v>
      </c>
      <c r="BQ21" s="10">
        <v>5.34</v>
      </c>
      <c r="BR21" s="9">
        <f t="shared" si="81"/>
        <v>-0.52</v>
      </c>
      <c r="BS21" s="11">
        <f t="shared" si="82"/>
        <v>-0.097378277153558</v>
      </c>
      <c r="BT21" s="10">
        <v>4.77</v>
      </c>
      <c r="BU21" s="9">
        <f t="shared" si="83"/>
        <v>0.0500000000000007</v>
      </c>
      <c r="BV21" s="11">
        <f t="shared" si="84"/>
        <v>0.0104821802935011</v>
      </c>
      <c r="BX21" s="9" t="s">
        <v>19</v>
      </c>
      <c r="BY21" s="9" t="s">
        <v>20</v>
      </c>
      <c r="BZ21" s="10">
        <v>76.95</v>
      </c>
      <c r="CA21" s="10">
        <v>71.89</v>
      </c>
      <c r="CB21" s="11">
        <v>0.0703853108916401</v>
      </c>
      <c r="CC21" s="10">
        <v>76.02</v>
      </c>
      <c r="CD21" s="11">
        <v>0.0122336227308604</v>
      </c>
      <c r="CE21" s="9">
        <v>4.82</v>
      </c>
      <c r="CF21" s="9">
        <v>5.15</v>
      </c>
      <c r="CG21" s="9">
        <v>-0.33</v>
      </c>
      <c r="CH21" s="11">
        <v>-0.0640776699029126</v>
      </c>
      <c r="CI21" s="9">
        <v>4.82</v>
      </c>
      <c r="CJ21" s="9">
        <v>0</v>
      </c>
      <c r="CK21" s="11">
        <v>0</v>
      </c>
      <c r="CM21" s="9" t="s">
        <v>19</v>
      </c>
      <c r="CN21" s="9" t="s">
        <v>20</v>
      </c>
      <c r="CO21" s="10">
        <f t="shared" si="85"/>
        <v>499.56</v>
      </c>
      <c r="CP21" s="10">
        <f t="shared" si="86"/>
        <v>498.84</v>
      </c>
      <c r="CQ21" s="11">
        <f t="shared" si="87"/>
        <v>0.00144334856867956</v>
      </c>
      <c r="CR21" s="10">
        <f t="shared" si="88"/>
        <v>514.49</v>
      </c>
      <c r="CS21" s="11">
        <f t="shared" si="89"/>
        <v>-0.0290190285525471</v>
      </c>
      <c r="CT21" s="10">
        <f t="shared" si="90"/>
        <v>4.34428571428571</v>
      </c>
      <c r="CU21" s="10">
        <f t="shared" si="91"/>
        <v>4.66142857142857</v>
      </c>
      <c r="CV21" s="9">
        <f t="shared" si="92"/>
        <v>-0.317142857142859</v>
      </c>
      <c r="CW21" s="11">
        <f t="shared" si="93"/>
        <v>-0.0680355501072636</v>
      </c>
      <c r="CX21" s="10">
        <f t="shared" si="94"/>
        <v>4.39285714285714</v>
      </c>
      <c r="CY21" s="9">
        <f t="shared" si="95"/>
        <v>-0.0485714285714289</v>
      </c>
      <c r="CZ21" s="11">
        <f t="shared" si="96"/>
        <v>-0.0110569105691057</v>
      </c>
    </row>
    <row r="22" spans="1:104">
      <c r="A22" s="9" t="s">
        <v>21</v>
      </c>
      <c r="B22" s="9" t="s">
        <v>22</v>
      </c>
      <c r="C22" s="10">
        <v>47.88</v>
      </c>
      <c r="D22" s="10">
        <v>40.34</v>
      </c>
      <c r="E22" s="14">
        <f t="shared" si="55"/>
        <v>0.186911254338126</v>
      </c>
      <c r="F22" s="10">
        <v>59.81</v>
      </c>
      <c r="G22" s="11">
        <f t="shared" si="56"/>
        <v>-0.19946497241264</v>
      </c>
      <c r="H22" s="10">
        <v>3.39</v>
      </c>
      <c r="I22" s="10">
        <v>4.18</v>
      </c>
      <c r="J22" s="9">
        <f t="shared" si="57"/>
        <v>-0.79</v>
      </c>
      <c r="K22" s="11">
        <f t="shared" si="58"/>
        <v>-0.188995215311005</v>
      </c>
      <c r="L22" s="10">
        <v>3.61</v>
      </c>
      <c r="M22" s="9">
        <f t="shared" si="59"/>
        <v>-0.22</v>
      </c>
      <c r="N22" s="11">
        <f t="shared" si="60"/>
        <v>-0.0609418282548476</v>
      </c>
      <c r="P22" s="9" t="s">
        <v>21</v>
      </c>
      <c r="Q22" s="9" t="s">
        <v>22</v>
      </c>
      <c r="R22" s="10">
        <v>61.32</v>
      </c>
      <c r="S22" s="10">
        <v>48.85</v>
      </c>
      <c r="T22" s="14">
        <f t="shared" si="61"/>
        <v>0.255271238485159</v>
      </c>
      <c r="U22" s="10">
        <v>47.88</v>
      </c>
      <c r="V22" s="11">
        <f t="shared" si="62"/>
        <v>0.280701754385965</v>
      </c>
      <c r="W22" s="10">
        <v>3.94</v>
      </c>
      <c r="X22" s="10">
        <v>4.36</v>
      </c>
      <c r="Y22" s="9">
        <f t="shared" si="63"/>
        <v>-0.42</v>
      </c>
      <c r="Z22" s="11">
        <f t="shared" si="64"/>
        <v>-0.0963302752293579</v>
      </c>
      <c r="AA22" s="10">
        <v>3.39</v>
      </c>
      <c r="AB22" s="9">
        <f t="shared" si="65"/>
        <v>0.55</v>
      </c>
      <c r="AC22" s="11">
        <f t="shared" si="66"/>
        <v>0.162241887905605</v>
      </c>
      <c r="AE22" s="9" t="s">
        <v>21</v>
      </c>
      <c r="AF22" s="9" t="s">
        <v>22</v>
      </c>
      <c r="AG22" s="10">
        <v>56.89</v>
      </c>
      <c r="AH22" s="10">
        <v>36.42</v>
      </c>
      <c r="AI22" s="14">
        <f t="shared" si="67"/>
        <v>0.562053816584294</v>
      </c>
      <c r="AJ22" s="10">
        <v>61.32</v>
      </c>
      <c r="AK22" s="11">
        <f t="shared" si="68"/>
        <v>-0.0722439660795825</v>
      </c>
      <c r="AL22" s="10">
        <v>3.81</v>
      </c>
      <c r="AM22" s="10">
        <v>3.32</v>
      </c>
      <c r="AN22" s="9">
        <f t="shared" si="69"/>
        <v>0.49</v>
      </c>
      <c r="AO22" s="11">
        <f t="shared" si="70"/>
        <v>0.147590361445783</v>
      </c>
      <c r="AP22" s="10">
        <v>3.94</v>
      </c>
      <c r="AQ22" s="9">
        <f t="shared" si="71"/>
        <v>-0.13</v>
      </c>
      <c r="AR22" s="11">
        <f t="shared" si="72"/>
        <v>-0.032994923857868</v>
      </c>
      <c r="AT22" s="9" t="s">
        <v>21</v>
      </c>
      <c r="AU22" s="9" t="s">
        <v>22</v>
      </c>
      <c r="AV22" s="10">
        <v>54.58</v>
      </c>
      <c r="AW22" s="10">
        <v>41.84</v>
      </c>
      <c r="AX22" s="14">
        <f t="shared" si="73"/>
        <v>0.304493307839388</v>
      </c>
      <c r="AY22" s="10">
        <v>56.89</v>
      </c>
      <c r="AZ22" s="11">
        <f t="shared" si="74"/>
        <v>-0.040604675689928</v>
      </c>
      <c r="BA22" s="10">
        <v>3.45</v>
      </c>
      <c r="BB22" s="10">
        <v>3.84</v>
      </c>
      <c r="BC22" s="9">
        <f t="shared" si="75"/>
        <v>-0.39</v>
      </c>
      <c r="BD22" s="11">
        <f t="shared" si="76"/>
        <v>-0.1015625</v>
      </c>
      <c r="BE22" s="10">
        <v>3.81</v>
      </c>
      <c r="BF22" s="9">
        <f t="shared" si="77"/>
        <v>-0.36</v>
      </c>
      <c r="BG22" s="11">
        <f t="shared" si="78"/>
        <v>-0.0944881889763779</v>
      </c>
      <c r="BI22" s="9" t="s">
        <v>21</v>
      </c>
      <c r="BJ22" s="9" t="s">
        <v>22</v>
      </c>
      <c r="BK22" s="10">
        <v>49.35</v>
      </c>
      <c r="BL22" s="10">
        <v>45.91</v>
      </c>
      <c r="BM22" s="14">
        <f t="shared" si="79"/>
        <v>0.0749292093225877</v>
      </c>
      <c r="BN22" s="10">
        <v>54.58</v>
      </c>
      <c r="BO22" s="11">
        <f t="shared" si="80"/>
        <v>-0.09582264565775</v>
      </c>
      <c r="BP22" s="10">
        <v>3.23</v>
      </c>
      <c r="BQ22" s="10">
        <v>3.2</v>
      </c>
      <c r="BR22" s="9">
        <f t="shared" si="81"/>
        <v>0.0299999999999998</v>
      </c>
      <c r="BS22" s="11">
        <f t="shared" si="82"/>
        <v>0.00937499999999991</v>
      </c>
      <c r="BT22" s="10">
        <v>3.45</v>
      </c>
      <c r="BU22" s="9">
        <f t="shared" si="83"/>
        <v>-0.22</v>
      </c>
      <c r="BV22" s="11">
        <f t="shared" si="84"/>
        <v>-0.063768115942029</v>
      </c>
      <c r="BX22" s="9" t="s">
        <v>21</v>
      </c>
      <c r="BY22" s="9" t="s">
        <v>22</v>
      </c>
      <c r="BZ22" s="10">
        <v>51.84</v>
      </c>
      <c r="CA22" s="10">
        <v>48.68</v>
      </c>
      <c r="CB22" s="11">
        <v>0.064913722267872</v>
      </c>
      <c r="CC22" s="10">
        <v>49.35</v>
      </c>
      <c r="CD22" s="11">
        <v>0.0504559270516718</v>
      </c>
      <c r="CE22" s="9">
        <v>3.28</v>
      </c>
      <c r="CF22" s="9">
        <v>3.27</v>
      </c>
      <c r="CG22" s="9">
        <v>0.00999999999999979</v>
      </c>
      <c r="CH22" s="11">
        <v>0.00305810397553508</v>
      </c>
      <c r="CI22" s="9">
        <v>3.23</v>
      </c>
      <c r="CJ22" s="9">
        <v>0.0499999999999998</v>
      </c>
      <c r="CK22" s="11">
        <v>0.0154798761609907</v>
      </c>
      <c r="CM22" s="9" t="s">
        <v>21</v>
      </c>
      <c r="CN22" s="9" t="s">
        <v>22</v>
      </c>
      <c r="CO22" s="10">
        <f t="shared" si="85"/>
        <v>321.86</v>
      </c>
      <c r="CP22" s="10">
        <f t="shared" si="86"/>
        <v>262.04</v>
      </c>
      <c r="CQ22" s="11">
        <f t="shared" si="87"/>
        <v>0.228285757899557</v>
      </c>
      <c r="CR22" s="10">
        <f t="shared" si="88"/>
        <v>329.83</v>
      </c>
      <c r="CS22" s="11">
        <f t="shared" si="89"/>
        <v>-0.0241639632537975</v>
      </c>
      <c r="CT22" s="10">
        <f t="shared" si="90"/>
        <v>3.01428571428571</v>
      </c>
      <c r="CU22" s="10">
        <f t="shared" si="91"/>
        <v>3.16714285714286</v>
      </c>
      <c r="CV22" s="9">
        <f t="shared" si="92"/>
        <v>-0.152857142857143</v>
      </c>
      <c r="CW22" s="11">
        <f t="shared" si="93"/>
        <v>-0.0482634190347315</v>
      </c>
      <c r="CX22" s="10">
        <f t="shared" si="94"/>
        <v>3.06142857142857</v>
      </c>
      <c r="CY22" s="9">
        <f t="shared" si="95"/>
        <v>-0.0471428571428567</v>
      </c>
      <c r="CZ22" s="11">
        <f t="shared" si="96"/>
        <v>-0.0153989734017731</v>
      </c>
    </row>
    <row r="23" spans="1:104">
      <c r="A23" s="9" t="s">
        <v>23</v>
      </c>
      <c r="B23" s="9" t="s">
        <v>14</v>
      </c>
      <c r="C23" s="10">
        <v>63.19</v>
      </c>
      <c r="D23" s="10"/>
      <c r="E23" s="14" t="e">
        <f t="shared" si="55"/>
        <v>#DIV/0!</v>
      </c>
      <c r="F23" s="10">
        <v>69.03</v>
      </c>
      <c r="G23" s="11">
        <f t="shared" si="56"/>
        <v>-0.0846008981602202</v>
      </c>
      <c r="H23" s="10">
        <v>3.91</v>
      </c>
      <c r="I23" s="10"/>
      <c r="J23" s="9">
        <f t="shared" si="57"/>
        <v>3.91</v>
      </c>
      <c r="K23" s="11" t="e">
        <f t="shared" si="58"/>
        <v>#DIV/0!</v>
      </c>
      <c r="L23" s="10">
        <v>3.45</v>
      </c>
      <c r="M23" s="9">
        <f t="shared" si="59"/>
        <v>0.46</v>
      </c>
      <c r="N23" s="11">
        <f t="shared" si="60"/>
        <v>0.133333333333333</v>
      </c>
      <c r="P23" s="9" t="s">
        <v>23</v>
      </c>
      <c r="Q23" s="9" t="s">
        <v>14</v>
      </c>
      <c r="R23" s="10">
        <v>73.28</v>
      </c>
      <c r="S23" s="10"/>
      <c r="T23" s="14" t="e">
        <f t="shared" si="61"/>
        <v>#DIV/0!</v>
      </c>
      <c r="U23" s="10">
        <v>63.19</v>
      </c>
      <c r="V23" s="11">
        <f t="shared" si="62"/>
        <v>0.159677164108245</v>
      </c>
      <c r="W23" s="10">
        <v>4.07</v>
      </c>
      <c r="X23" s="10"/>
      <c r="Y23" s="9">
        <f t="shared" si="63"/>
        <v>4.07</v>
      </c>
      <c r="Z23" s="11" t="e">
        <f t="shared" si="64"/>
        <v>#DIV/0!</v>
      </c>
      <c r="AA23" s="10">
        <v>3.91</v>
      </c>
      <c r="AB23" s="9">
        <f t="shared" si="65"/>
        <v>0.16</v>
      </c>
      <c r="AC23" s="11">
        <f t="shared" si="66"/>
        <v>0.040920716112532</v>
      </c>
      <c r="AE23" s="9" t="s">
        <v>23</v>
      </c>
      <c r="AF23" s="9" t="s">
        <v>14</v>
      </c>
      <c r="AG23" s="10">
        <v>67.63</v>
      </c>
      <c r="AH23" s="10"/>
      <c r="AI23" s="14" t="e">
        <f t="shared" si="67"/>
        <v>#DIV/0!</v>
      </c>
      <c r="AJ23" s="10">
        <v>73.28</v>
      </c>
      <c r="AK23" s="11">
        <f t="shared" si="68"/>
        <v>-0.0771015283842795</v>
      </c>
      <c r="AL23" s="10">
        <v>3.77</v>
      </c>
      <c r="AM23" s="10"/>
      <c r="AN23" s="9">
        <f t="shared" si="69"/>
        <v>3.77</v>
      </c>
      <c r="AO23" s="11" t="e">
        <f t="shared" si="70"/>
        <v>#DIV/0!</v>
      </c>
      <c r="AP23" s="10">
        <v>4.07</v>
      </c>
      <c r="AQ23" s="9">
        <f t="shared" si="71"/>
        <v>-0.3</v>
      </c>
      <c r="AR23" s="11">
        <f t="shared" si="72"/>
        <v>-0.0737100737100738</v>
      </c>
      <c r="AT23" s="9" t="s">
        <v>23</v>
      </c>
      <c r="AU23" s="9" t="s">
        <v>14</v>
      </c>
      <c r="AV23" s="10">
        <v>70.04</v>
      </c>
      <c r="AW23" s="10">
        <v>58.17</v>
      </c>
      <c r="AX23" s="14">
        <f t="shared" si="73"/>
        <v>0.204057074093175</v>
      </c>
      <c r="AY23" s="10">
        <v>67.63</v>
      </c>
      <c r="AZ23" s="11">
        <f t="shared" si="74"/>
        <v>0.0356350731923705</v>
      </c>
      <c r="BA23" s="10">
        <v>3.81</v>
      </c>
      <c r="BB23" s="10">
        <v>2.71</v>
      </c>
      <c r="BC23" s="9">
        <f t="shared" si="75"/>
        <v>1.1</v>
      </c>
      <c r="BD23" s="11">
        <f t="shared" si="76"/>
        <v>0.40590405904059</v>
      </c>
      <c r="BE23" s="10">
        <v>3.77</v>
      </c>
      <c r="BF23" s="9">
        <f t="shared" si="77"/>
        <v>0.04</v>
      </c>
      <c r="BG23" s="11">
        <f t="shared" si="78"/>
        <v>0.0106100795755968</v>
      </c>
      <c r="BI23" s="9" t="s">
        <v>23</v>
      </c>
      <c r="BJ23" s="9" t="s">
        <v>14</v>
      </c>
      <c r="BK23" s="10">
        <v>67.59</v>
      </c>
      <c r="BL23" s="10">
        <v>72.75</v>
      </c>
      <c r="BM23" s="14">
        <f t="shared" si="79"/>
        <v>-0.0709278350515463</v>
      </c>
      <c r="BN23" s="10">
        <v>70.04</v>
      </c>
      <c r="BO23" s="11">
        <f t="shared" si="80"/>
        <v>-0.0349800114220445</v>
      </c>
      <c r="BP23" s="10">
        <v>3.92</v>
      </c>
      <c r="BQ23" s="10">
        <v>3.5</v>
      </c>
      <c r="BR23" s="9">
        <f t="shared" si="81"/>
        <v>0.42</v>
      </c>
      <c r="BS23" s="11">
        <f t="shared" si="82"/>
        <v>0.12</v>
      </c>
      <c r="BT23" s="10">
        <v>3.81</v>
      </c>
      <c r="BU23" s="9">
        <f t="shared" si="83"/>
        <v>0.11</v>
      </c>
      <c r="BV23" s="11">
        <f t="shared" si="84"/>
        <v>0.0288713910761154</v>
      </c>
      <c r="BX23" s="9" t="s">
        <v>23</v>
      </c>
      <c r="BY23" s="9" t="s">
        <v>14</v>
      </c>
      <c r="BZ23" s="10">
        <v>69.87</v>
      </c>
      <c r="CA23" s="10">
        <v>64.17</v>
      </c>
      <c r="CB23" s="11">
        <v>0.0888265544647031</v>
      </c>
      <c r="CC23" s="10">
        <v>67.59</v>
      </c>
      <c r="CD23" s="11">
        <v>0.0337328007101643</v>
      </c>
      <c r="CE23" s="9">
        <v>4.15</v>
      </c>
      <c r="CF23" s="9">
        <v>3.09</v>
      </c>
      <c r="CG23" s="9">
        <v>1.06</v>
      </c>
      <c r="CH23" s="11">
        <v>0.343042071197411</v>
      </c>
      <c r="CI23" s="9">
        <v>3.92</v>
      </c>
      <c r="CJ23" s="9">
        <v>0.23</v>
      </c>
      <c r="CK23" s="11">
        <v>0.0586734693877553</v>
      </c>
      <c r="CM23" s="9" t="s">
        <v>23</v>
      </c>
      <c r="CN23" s="9" t="s">
        <v>14</v>
      </c>
      <c r="CO23" s="10">
        <f t="shared" si="85"/>
        <v>411.6</v>
      </c>
      <c r="CP23" s="10">
        <f>SUM(CA23,BL23,AW23,,AH23,S23,D23)*2</f>
        <v>390.18</v>
      </c>
      <c r="CQ23" s="11">
        <f t="shared" si="87"/>
        <v>0.0548977395048436</v>
      </c>
      <c r="CR23" s="10">
        <f t="shared" si="88"/>
        <v>410.76</v>
      </c>
      <c r="CS23" s="11">
        <f t="shared" si="89"/>
        <v>0.00204498977505096</v>
      </c>
      <c r="CT23" s="10">
        <f t="shared" si="90"/>
        <v>3.37571428571429</v>
      </c>
      <c r="CU23" s="10">
        <f t="shared" si="91"/>
        <v>2.325</v>
      </c>
      <c r="CV23" s="9">
        <f t="shared" si="92"/>
        <v>1.05071428571429</v>
      </c>
      <c r="CW23" s="11">
        <f t="shared" si="93"/>
        <v>0.451920122887865</v>
      </c>
      <c r="CX23" s="10">
        <f t="shared" si="94"/>
        <v>3.27571428571429</v>
      </c>
      <c r="CY23" s="9">
        <f t="shared" si="95"/>
        <v>0.0999999999999996</v>
      </c>
      <c r="CZ23" s="11">
        <f t="shared" si="96"/>
        <v>0.0305276929786304</v>
      </c>
    </row>
    <row r="24" spans="1:104">
      <c r="A24" s="12" t="s">
        <v>24</v>
      </c>
      <c r="B24" s="4"/>
      <c r="C24" s="10">
        <f t="shared" ref="C24:F24" si="97">SUM(C17:C23)</f>
        <v>443.71</v>
      </c>
      <c r="D24" s="10">
        <f t="shared" si="97"/>
        <v>445.94</v>
      </c>
      <c r="E24" s="14">
        <f t="shared" si="55"/>
        <v>-0.00500067273624272</v>
      </c>
      <c r="F24" s="10">
        <f t="shared" si="97"/>
        <v>509.42</v>
      </c>
      <c r="G24" s="11">
        <f t="shared" si="56"/>
        <v>-0.128989831573162</v>
      </c>
      <c r="H24" s="10">
        <f t="shared" ref="H24:J24" si="98">AVERAGE(H17:H23)</f>
        <v>4.30428571428571</v>
      </c>
      <c r="I24" s="10">
        <f t="shared" si="98"/>
        <v>4.93166666666667</v>
      </c>
      <c r="J24" s="9">
        <f t="shared" si="98"/>
        <v>0.0771428571428572</v>
      </c>
      <c r="K24" s="11">
        <f t="shared" si="58"/>
        <v>-0.127214792642302</v>
      </c>
      <c r="L24" s="10">
        <f>AVERAGE(L17:L23)</f>
        <v>4.24571428571429</v>
      </c>
      <c r="M24" s="9">
        <f>AVERAGE(M17:M23)</f>
        <v>0.0585714285714286</v>
      </c>
      <c r="N24" s="11">
        <f t="shared" si="60"/>
        <v>0.0137954239569313</v>
      </c>
      <c r="P24" s="12" t="s">
        <v>24</v>
      </c>
      <c r="Q24" s="4"/>
      <c r="R24" s="10">
        <f t="shared" ref="R24:U24" si="99">SUM(R17:R23)</f>
        <v>499.34</v>
      </c>
      <c r="S24" s="10">
        <f t="shared" si="99"/>
        <v>494.44</v>
      </c>
      <c r="T24" s="14">
        <f t="shared" si="61"/>
        <v>0.00991020144001298</v>
      </c>
      <c r="U24" s="10">
        <f t="shared" si="99"/>
        <v>443.71</v>
      </c>
      <c r="V24" s="11">
        <f t="shared" si="62"/>
        <v>0.125374681661446</v>
      </c>
      <c r="W24" s="10">
        <f t="shared" ref="W24:Y24" si="100">AVERAGE(W17:W23)</f>
        <v>4.47285714285714</v>
      </c>
      <c r="X24" s="10">
        <f t="shared" si="100"/>
        <v>5.29</v>
      </c>
      <c r="Y24" s="9">
        <f t="shared" si="100"/>
        <v>-0.0614285714285716</v>
      </c>
      <c r="Z24" s="11">
        <f t="shared" si="64"/>
        <v>-0.154469349176344</v>
      </c>
      <c r="AA24" s="10">
        <f>AVERAGE(AA17:AA23)</f>
        <v>4.30428571428571</v>
      </c>
      <c r="AB24" s="9">
        <f>AVERAGE(AB17:AB23)</f>
        <v>0.168571428571429</v>
      </c>
      <c r="AC24" s="11">
        <f t="shared" si="66"/>
        <v>0.0391636242947229</v>
      </c>
      <c r="AE24" s="12" t="s">
        <v>24</v>
      </c>
      <c r="AF24" s="4"/>
      <c r="AG24" s="10">
        <f t="shared" ref="AG24:AJ24" si="101">SUM(AG17:AG23)</f>
        <v>481.13</v>
      </c>
      <c r="AH24" s="10">
        <f t="shared" si="101"/>
        <v>390.28</v>
      </c>
      <c r="AI24" s="14">
        <f t="shared" si="67"/>
        <v>0.232781592702675</v>
      </c>
      <c r="AJ24" s="10">
        <f t="shared" si="101"/>
        <v>499.34</v>
      </c>
      <c r="AK24" s="11">
        <f t="shared" si="68"/>
        <v>-0.0364681379420837</v>
      </c>
      <c r="AL24" s="10">
        <f t="shared" ref="AL24:AN24" si="102">AVERAGE(AL17:AL23)</f>
        <v>4.38142857142857</v>
      </c>
      <c r="AM24" s="10">
        <f t="shared" si="102"/>
        <v>4.80333333333333</v>
      </c>
      <c r="AN24" s="9">
        <f t="shared" si="102"/>
        <v>0.264285714285715</v>
      </c>
      <c r="AO24" s="11">
        <f t="shared" si="70"/>
        <v>-0.0878358282938437</v>
      </c>
      <c r="AP24" s="10">
        <f>AVERAGE(AP17:AP23)</f>
        <v>4.47285714285714</v>
      </c>
      <c r="AQ24" s="9">
        <f>AVERAGE(AQ17:AQ23)</f>
        <v>-0.0914285714285713</v>
      </c>
      <c r="AR24" s="11">
        <f t="shared" si="72"/>
        <v>-0.0204407537527946</v>
      </c>
      <c r="AT24" s="12" t="s">
        <v>24</v>
      </c>
      <c r="AU24" s="4"/>
      <c r="AV24" s="10">
        <f t="shared" ref="AV24:AY24" si="103">SUM(AV17:AV23)</f>
        <v>463.21</v>
      </c>
      <c r="AW24" s="10">
        <f t="shared" si="103"/>
        <v>457.09</v>
      </c>
      <c r="AX24" s="14">
        <f t="shared" si="73"/>
        <v>0.0133890481086876</v>
      </c>
      <c r="AY24" s="10">
        <f t="shared" si="103"/>
        <v>481.13</v>
      </c>
      <c r="AZ24" s="11">
        <f t="shared" si="74"/>
        <v>-0.0372456508635919</v>
      </c>
      <c r="BA24" s="10">
        <f t="shared" ref="BA24:BC24" si="104">AVERAGE(BA17:BA23)</f>
        <v>4.05285714285714</v>
      </c>
      <c r="BB24" s="10">
        <f t="shared" si="104"/>
        <v>4.34</v>
      </c>
      <c r="BC24" s="9">
        <f t="shared" si="104"/>
        <v>-0.287142857142857</v>
      </c>
      <c r="BD24" s="11">
        <f t="shared" si="76"/>
        <v>-0.066161948650428</v>
      </c>
      <c r="BE24" s="10">
        <f>AVERAGE(BE17:BE23)</f>
        <v>4.38142857142857</v>
      </c>
      <c r="BF24" s="9">
        <f>AVERAGE(BF17:BF23)</f>
        <v>-0.328571428571429</v>
      </c>
      <c r="BG24" s="11">
        <f t="shared" si="78"/>
        <v>-0.0749918487120964</v>
      </c>
      <c r="BI24" s="12" t="s">
        <v>24</v>
      </c>
      <c r="BJ24" s="4"/>
      <c r="BK24" s="10">
        <f t="shared" ref="BK24:BN24" si="105">SUM(BK17:BK23)</f>
        <v>437.92</v>
      </c>
      <c r="BL24" s="10">
        <f t="shared" si="105"/>
        <v>475.9</v>
      </c>
      <c r="BM24" s="14">
        <f t="shared" si="79"/>
        <v>-0.0798066820760664</v>
      </c>
      <c r="BN24" s="10">
        <f t="shared" si="105"/>
        <v>463.21</v>
      </c>
      <c r="BO24" s="11">
        <f t="shared" si="80"/>
        <v>-0.0545972668983831</v>
      </c>
      <c r="BP24" s="10">
        <f t="shared" ref="BP24:BR24" si="106">AVERAGE(BP17:BP23)</f>
        <v>4.02142857142857</v>
      </c>
      <c r="BQ24" s="10">
        <f t="shared" si="106"/>
        <v>4.41857142857143</v>
      </c>
      <c r="BR24" s="9">
        <f t="shared" si="106"/>
        <v>-0.397142857142857</v>
      </c>
      <c r="BS24" s="11">
        <f t="shared" si="82"/>
        <v>-0.0898803750404138</v>
      </c>
      <c r="BT24" s="10">
        <f>AVERAGE(BT17:BT23)</f>
        <v>4.05285714285714</v>
      </c>
      <c r="BU24" s="9">
        <f>AVERAGE(BU17:BU23)</f>
        <v>-0.0314285714285715</v>
      </c>
      <c r="BV24" s="11">
        <f t="shared" si="84"/>
        <v>-0.00775467042650679</v>
      </c>
      <c r="BX24" s="12" t="s">
        <v>24</v>
      </c>
      <c r="BY24" s="4"/>
      <c r="BZ24" s="10">
        <v>443.41</v>
      </c>
      <c r="CA24" s="10">
        <v>454.47</v>
      </c>
      <c r="CB24" s="11">
        <v>-0.024336039782604</v>
      </c>
      <c r="CC24" s="10">
        <v>437.92</v>
      </c>
      <c r="CD24" s="11">
        <v>0.012536536353672</v>
      </c>
      <c r="CE24" s="9">
        <v>4.01857142857143</v>
      </c>
      <c r="CF24" s="9">
        <v>4.16857142857143</v>
      </c>
      <c r="CG24" s="9">
        <v>-0.15</v>
      </c>
      <c r="CH24" s="11">
        <v>-0.0359835503769704</v>
      </c>
      <c r="CI24" s="9">
        <v>4.02142857142857</v>
      </c>
      <c r="CJ24" s="9">
        <v>-0.00285714285714286</v>
      </c>
      <c r="CK24" s="11">
        <v>-0.000710479573712175</v>
      </c>
      <c r="CM24" s="12" t="s">
        <v>24</v>
      </c>
      <c r="CN24" s="4"/>
      <c r="CO24" s="10">
        <f t="shared" ref="CO24:CR24" si="107">SUM(CO17:CO23)</f>
        <v>2768.72</v>
      </c>
      <c r="CP24" s="10">
        <f t="shared" si="107"/>
        <v>2913.21</v>
      </c>
      <c r="CQ24" s="11">
        <f t="shared" si="87"/>
        <v>-0.0495982095351863</v>
      </c>
      <c r="CR24" s="10">
        <f t="shared" si="107"/>
        <v>2834.73</v>
      </c>
      <c r="CS24" s="11">
        <f t="shared" si="89"/>
        <v>-0.023286168347603</v>
      </c>
      <c r="CT24" s="9">
        <f t="shared" ref="CT24:CV24" si="108">AVERAGE(CT17:CT23)</f>
        <v>3.60734693877551</v>
      </c>
      <c r="CU24" s="9">
        <f t="shared" si="108"/>
        <v>3.82887755102041</v>
      </c>
      <c r="CV24" s="9">
        <f t="shared" si="108"/>
        <v>-0.221530612244898</v>
      </c>
      <c r="CW24" s="11">
        <f t="shared" si="93"/>
        <v>-0.0578578471870586</v>
      </c>
      <c r="CX24" s="9">
        <f>AVERAGE(CX17:CX23)</f>
        <v>3.63979591836735</v>
      </c>
      <c r="CY24" s="9">
        <f>AVERAGE(CY17:CY23)</f>
        <v>-0.0324489795918367</v>
      </c>
      <c r="CZ24" s="11">
        <f t="shared" si="96"/>
        <v>-0.00891505466778797</v>
      </c>
    </row>
  </sheetData>
  <mergeCells count="70">
    <mergeCell ref="C1:G1"/>
    <mergeCell ref="H1:N1"/>
    <mergeCell ref="R1:V1"/>
    <mergeCell ref="W1:AC1"/>
    <mergeCell ref="AG1:AK1"/>
    <mergeCell ref="AL1:AR1"/>
    <mergeCell ref="AV1:AZ1"/>
    <mergeCell ref="BA1:BG1"/>
    <mergeCell ref="BK1:BO1"/>
    <mergeCell ref="BP1:BV1"/>
    <mergeCell ref="BZ1:CD1"/>
    <mergeCell ref="CE1:CK1"/>
    <mergeCell ref="CO1:CS1"/>
    <mergeCell ref="CT1:CZ1"/>
    <mergeCell ref="A10:B10"/>
    <mergeCell ref="P10:Q10"/>
    <mergeCell ref="AE10:AF10"/>
    <mergeCell ref="AT10:AU10"/>
    <mergeCell ref="BI10:BJ10"/>
    <mergeCell ref="BX10:BY10"/>
    <mergeCell ref="CM10:CN10"/>
    <mergeCell ref="C15:G15"/>
    <mergeCell ref="H15:N15"/>
    <mergeCell ref="R15:V15"/>
    <mergeCell ref="W15:AC15"/>
    <mergeCell ref="AG15:AK15"/>
    <mergeCell ref="AL15:AR15"/>
    <mergeCell ref="AV15:AZ15"/>
    <mergeCell ref="BA15:BG15"/>
    <mergeCell ref="BK15:BO15"/>
    <mergeCell ref="BP15:BV15"/>
    <mergeCell ref="BZ15:CD15"/>
    <mergeCell ref="CE15:CK15"/>
    <mergeCell ref="CO15:CS15"/>
    <mergeCell ref="CT15:CZ15"/>
    <mergeCell ref="A24:B24"/>
    <mergeCell ref="P24:Q24"/>
    <mergeCell ref="AE24:AF24"/>
    <mergeCell ref="AT24:AU24"/>
    <mergeCell ref="BI24:BJ24"/>
    <mergeCell ref="BX24:BY24"/>
    <mergeCell ref="CM24:CN24"/>
    <mergeCell ref="A1:A2"/>
    <mergeCell ref="A15:A16"/>
    <mergeCell ref="B1:B2"/>
    <mergeCell ref="B15:B16"/>
    <mergeCell ref="P1:P2"/>
    <mergeCell ref="P15:P16"/>
    <mergeCell ref="Q1:Q2"/>
    <mergeCell ref="Q15:Q16"/>
    <mergeCell ref="AE1:AE2"/>
    <mergeCell ref="AE15:AE16"/>
    <mergeCell ref="AF1:AF2"/>
    <mergeCell ref="AF15:AF16"/>
    <mergeCell ref="AT1:AT2"/>
    <mergeCell ref="AT15:AT16"/>
    <mergeCell ref="AU1:AU2"/>
    <mergeCell ref="AU15:AU16"/>
    <mergeCell ref="BI1:BI2"/>
    <mergeCell ref="BI15:BI16"/>
    <mergeCell ref="BJ1:BJ2"/>
    <mergeCell ref="BJ15:BJ16"/>
    <mergeCell ref="BX1:BX2"/>
    <mergeCell ref="BX15:BX16"/>
    <mergeCell ref="BY1:BY2"/>
    <mergeCell ref="BY15:BY16"/>
    <mergeCell ref="CM1:CM2"/>
    <mergeCell ref="CM15:CM16"/>
    <mergeCell ref="CN1:CN2"/>
    <mergeCell ref="CN15:CN16"/>
  </mergeCells>
  <conditionalFormatting sqref="G3:G10">
    <cfRule type="cellIs" dxfId="0" priority="96" operator="greaterThan">
      <formula>0</formula>
    </cfRule>
    <cfRule type="cellIs" dxfId="1" priority="95" operator="lessThan">
      <formula>0</formula>
    </cfRule>
  </conditionalFormatting>
  <conditionalFormatting sqref="G17:G24">
    <cfRule type="cellIs" dxfId="0" priority="88" operator="greaterThan">
      <formula>0</formula>
    </cfRule>
    <cfRule type="cellIs" dxfId="1" priority="87" operator="lessThan">
      <formula>0</formula>
    </cfRule>
  </conditionalFormatting>
  <conditionalFormatting sqref="V3:V10">
    <cfRule type="cellIs" dxfId="0" priority="64" operator="greaterThan">
      <formula>0</formula>
    </cfRule>
    <cfRule type="cellIs" dxfId="1" priority="63" operator="lessThan">
      <formula>0</formula>
    </cfRule>
  </conditionalFormatting>
  <conditionalFormatting sqref="V17:V24">
    <cfRule type="cellIs" dxfId="0" priority="56" operator="greaterThan">
      <formula>0</formula>
    </cfRule>
    <cfRule type="cellIs" dxfId="1" priority="55" operator="lessThan">
      <formula>0</formula>
    </cfRule>
  </conditionalFormatting>
  <conditionalFormatting sqref="AK3:AK10">
    <cfRule type="cellIs" dxfId="0" priority="48" operator="greaterThan">
      <formula>0</formula>
    </cfRule>
    <cfRule type="cellIs" dxfId="1" priority="47" operator="lessThan">
      <formula>0</formula>
    </cfRule>
  </conditionalFormatting>
  <conditionalFormatting sqref="AK17:AK24">
    <cfRule type="cellIs" dxfId="0" priority="40" operator="greaterThan">
      <formula>0</formula>
    </cfRule>
    <cfRule type="cellIs" dxfId="1" priority="39" operator="lessThan">
      <formula>0</formula>
    </cfRule>
  </conditionalFormatting>
  <conditionalFormatting sqref="AZ3:AZ10">
    <cfRule type="cellIs" dxfId="0" priority="32" operator="greaterThan">
      <formula>0</formula>
    </cfRule>
    <cfRule type="cellIs" dxfId="1" priority="31" operator="lessThan">
      <formula>0</formula>
    </cfRule>
  </conditionalFormatting>
  <conditionalFormatting sqref="AZ17:AZ24">
    <cfRule type="cellIs" dxfId="0" priority="24" operator="greaterThan">
      <formula>0</formula>
    </cfRule>
    <cfRule type="cellIs" dxfId="1" priority="23" operator="lessThan">
      <formula>0</formula>
    </cfRule>
  </conditionalFormatting>
  <conditionalFormatting sqref="BO3:BO10">
    <cfRule type="cellIs" dxfId="0" priority="16" operator="greaterThan">
      <formula>0</formula>
    </cfRule>
    <cfRule type="cellIs" dxfId="1" priority="15" operator="lessThan">
      <formula>0</formula>
    </cfRule>
  </conditionalFormatting>
  <conditionalFormatting sqref="BO17:BO24">
    <cfRule type="cellIs" dxfId="0" priority="8" operator="greaterThan">
      <formula>0</formula>
    </cfRule>
    <cfRule type="cellIs" dxfId="1" priority="7" operator="lessThan">
      <formula>0</formula>
    </cfRule>
  </conditionalFormatting>
  <conditionalFormatting sqref="CD3:CD10">
    <cfRule type="cellIs" dxfId="0" priority="128" operator="greaterThan">
      <formula>0</formula>
    </cfRule>
    <cfRule type="cellIs" dxfId="1" priority="127" operator="lessThan">
      <formula>0</formula>
    </cfRule>
  </conditionalFormatting>
  <conditionalFormatting sqref="CD17:CD24">
    <cfRule type="cellIs" dxfId="0" priority="120" operator="greaterThan">
      <formula>0</formula>
    </cfRule>
    <cfRule type="cellIs" dxfId="1" priority="119" operator="lessThan">
      <formula>0</formula>
    </cfRule>
  </conditionalFormatting>
  <conditionalFormatting sqref="CS3:CS10">
    <cfRule type="cellIs" dxfId="0" priority="112" operator="greaterThan">
      <formula>0</formula>
    </cfRule>
    <cfRule type="cellIs" dxfId="1" priority="111" operator="lessThan">
      <formula>0</formula>
    </cfRule>
  </conditionalFormatting>
  <conditionalFormatting sqref="CS17:CS24">
    <cfRule type="cellIs" dxfId="0" priority="104" operator="greaterThan">
      <formula>0</formula>
    </cfRule>
    <cfRule type="cellIs" dxfId="1" priority="103" operator="lessThan">
      <formula>0</formula>
    </cfRule>
  </conditionalFormatting>
  <conditionalFormatting sqref="E3:E10 K3:K10 N3:N10">
    <cfRule type="cellIs" dxfId="1" priority="94" operator="greaterThan">
      <formula>0</formula>
    </cfRule>
    <cfRule type="cellIs" dxfId="1" priority="93" operator="lessThan">
      <formula>0</formula>
    </cfRule>
    <cfRule type="cellIs" dxfId="0" priority="92" operator="greaterThan">
      <formula>0</formula>
    </cfRule>
  </conditionalFormatting>
  <conditionalFormatting sqref="J3:J10 M3:M9 M10">
    <cfRule type="cellIs" dxfId="0" priority="91" operator="greaterThan">
      <formula>0.065</formula>
    </cfRule>
    <cfRule type="cellIs" dxfId="1" priority="90" operator="lessThan">
      <formula>0</formula>
    </cfRule>
    <cfRule type="cellIs" dxfId="0" priority="89" operator="greaterThan">
      <formula>0</formula>
    </cfRule>
  </conditionalFormatting>
  <conditionalFormatting sqref="T3:T10 Z3:Z10 AC3:AC10">
    <cfRule type="cellIs" dxfId="1" priority="62" operator="greaterThan">
      <formula>0</formula>
    </cfRule>
    <cfRule type="cellIs" dxfId="1" priority="61" operator="lessThan">
      <formula>0</formula>
    </cfRule>
    <cfRule type="cellIs" dxfId="0" priority="60" operator="greaterThan">
      <formula>0</formula>
    </cfRule>
  </conditionalFormatting>
  <conditionalFormatting sqref="Y3:Y10 AB3:AB9 AB10">
    <cfRule type="cellIs" dxfId="0" priority="59" operator="greaterThan">
      <formula>0.065</formula>
    </cfRule>
    <cfRule type="cellIs" dxfId="1" priority="58" operator="lessThan">
      <formula>0</formula>
    </cfRule>
    <cfRule type="cellIs" dxfId="0" priority="57" operator="greaterThan">
      <formula>0</formula>
    </cfRule>
  </conditionalFormatting>
  <conditionalFormatting sqref="AI3:AI10 AO3:AO10 AR3:AR10">
    <cfRule type="cellIs" dxfId="1" priority="46" operator="greaterThan">
      <formula>0</formula>
    </cfRule>
    <cfRule type="cellIs" dxfId="1" priority="45" operator="lessThan">
      <formula>0</formula>
    </cfRule>
    <cfRule type="cellIs" dxfId="0" priority="44" operator="greaterThan">
      <formula>0</formula>
    </cfRule>
  </conditionalFormatting>
  <conditionalFormatting sqref="AN3:AN10 AQ3:AQ9 AQ10">
    <cfRule type="cellIs" dxfId="0" priority="43" operator="greaterThan">
      <formula>0.065</formula>
    </cfRule>
    <cfRule type="cellIs" dxfId="1" priority="42" operator="lessThan">
      <formula>0</formula>
    </cfRule>
    <cfRule type="cellIs" dxfId="0" priority="41" operator="greaterThan">
      <formula>0</formula>
    </cfRule>
  </conditionalFormatting>
  <conditionalFormatting sqref="AX3:AX10 BD3:BD10 BG3:BG10">
    <cfRule type="cellIs" dxfId="1" priority="30" operator="greaterThan">
      <formula>0</formula>
    </cfRule>
    <cfRule type="cellIs" dxfId="1" priority="29" operator="lessThan">
      <formula>0</formula>
    </cfRule>
    <cfRule type="cellIs" dxfId="0" priority="28" operator="greaterThan">
      <formula>0</formula>
    </cfRule>
  </conditionalFormatting>
  <conditionalFormatting sqref="BC3:BC10 BF3:BF9 BF10">
    <cfRule type="cellIs" dxfId="0" priority="27" operator="greaterThan">
      <formula>0.065</formula>
    </cfRule>
    <cfRule type="cellIs" dxfId="1" priority="26" operator="lessThan">
      <formula>0</formula>
    </cfRule>
    <cfRule type="cellIs" dxfId="0" priority="25" operator="greaterThan">
      <formula>0</formula>
    </cfRule>
  </conditionalFormatting>
  <conditionalFormatting sqref="BM3:BM10 BS3:BS10 BV3:BV10">
    <cfRule type="cellIs" dxfId="1" priority="14" operator="greaterThan">
      <formula>0</formula>
    </cfRule>
    <cfRule type="cellIs" dxfId="1" priority="13" operator="lessThan">
      <formula>0</formula>
    </cfRule>
    <cfRule type="cellIs" dxfId="0" priority="12" operator="greaterThan">
      <formula>0</formula>
    </cfRule>
  </conditionalFormatting>
  <conditionalFormatting sqref="BR3:BR10 BU3:BU9 BU10">
    <cfRule type="cellIs" dxfId="0" priority="11" operator="greaterThan">
      <formula>0.065</formula>
    </cfRule>
    <cfRule type="cellIs" dxfId="1" priority="10" operator="lessThan">
      <formula>0</formula>
    </cfRule>
    <cfRule type="cellIs" dxfId="0" priority="9" operator="greaterThan">
      <formula>0</formula>
    </cfRule>
  </conditionalFormatting>
  <conditionalFormatting sqref="CB3:CB10 CH3:CH10 CK3:CK10">
    <cfRule type="cellIs" dxfId="1" priority="126" operator="greaterThan">
      <formula>0</formula>
    </cfRule>
    <cfRule type="cellIs" dxfId="1" priority="125" operator="lessThan">
      <formula>0</formula>
    </cfRule>
    <cfRule type="cellIs" dxfId="0" priority="124" operator="greaterThan">
      <formula>0</formula>
    </cfRule>
  </conditionalFormatting>
  <conditionalFormatting sqref="CG3:CG10 CJ3:CJ9 CJ10">
    <cfRule type="cellIs" dxfId="0" priority="123" operator="greaterThan">
      <formula>0.065</formula>
    </cfRule>
    <cfRule type="cellIs" dxfId="1" priority="122" operator="lessThan">
      <formula>0</formula>
    </cfRule>
    <cfRule type="cellIs" dxfId="0" priority="121" operator="greaterThan">
      <formula>0</formula>
    </cfRule>
  </conditionalFormatting>
  <conditionalFormatting sqref="CQ3:CQ10 CW3:CW10 CZ3:CZ10">
    <cfRule type="cellIs" dxfId="1" priority="110" operator="greaterThan">
      <formula>0</formula>
    </cfRule>
    <cfRule type="cellIs" dxfId="1" priority="109" operator="lessThan">
      <formula>0</formula>
    </cfRule>
    <cfRule type="cellIs" dxfId="0" priority="108" operator="greaterThan">
      <formula>0</formula>
    </cfRule>
  </conditionalFormatting>
  <conditionalFormatting sqref="CV3:CV10 CY3:CY9 CY10">
    <cfRule type="cellIs" dxfId="0" priority="107" operator="greaterThan">
      <formula>0.065</formula>
    </cfRule>
    <cfRule type="cellIs" dxfId="1" priority="106" operator="lessThan">
      <formula>0</formula>
    </cfRule>
    <cfRule type="cellIs" dxfId="0" priority="105" operator="greaterThan">
      <formula>0</formula>
    </cfRule>
  </conditionalFormatting>
  <conditionalFormatting sqref="E17:E24 K17:K24 N17:N24">
    <cfRule type="cellIs" dxfId="1" priority="86" operator="greaterThan">
      <formula>0</formula>
    </cfRule>
    <cfRule type="cellIs" dxfId="1" priority="85" operator="lessThan">
      <formula>0</formula>
    </cfRule>
    <cfRule type="cellIs" dxfId="0" priority="84" operator="greaterThan">
      <formula>0</formula>
    </cfRule>
  </conditionalFormatting>
  <conditionalFormatting sqref="J17:J24 M17:M23 M24">
    <cfRule type="cellIs" dxfId="0" priority="83" operator="greaterThan">
      <formula>0.065</formula>
    </cfRule>
    <cfRule type="cellIs" dxfId="1" priority="82" operator="lessThan">
      <formula>0</formula>
    </cfRule>
    <cfRule type="cellIs" dxfId="0" priority="81" operator="greaterThan">
      <formula>0</formula>
    </cfRule>
  </conditionalFormatting>
  <conditionalFormatting sqref="T17:T24 Z17:Z24 AC17:AC24">
    <cfRule type="cellIs" dxfId="1" priority="54" operator="greaterThan">
      <formula>0</formula>
    </cfRule>
    <cfRule type="cellIs" dxfId="1" priority="53" operator="lessThan">
      <formula>0</formula>
    </cfRule>
    <cfRule type="cellIs" dxfId="0" priority="52" operator="greaterThan">
      <formula>0</formula>
    </cfRule>
  </conditionalFormatting>
  <conditionalFormatting sqref="Y17:Y24 AB17:AB23 AB24">
    <cfRule type="cellIs" dxfId="0" priority="51" operator="greaterThan">
      <formula>0.065</formula>
    </cfRule>
    <cfRule type="cellIs" dxfId="1" priority="50" operator="lessThan">
      <formula>0</formula>
    </cfRule>
    <cfRule type="cellIs" dxfId="0" priority="49" operator="greaterThan">
      <formula>0</formula>
    </cfRule>
  </conditionalFormatting>
  <conditionalFormatting sqref="AI17:AI24 AO17:AO24 AR17:AR24">
    <cfRule type="cellIs" dxfId="1" priority="38" operator="greaterThan">
      <formula>0</formula>
    </cfRule>
    <cfRule type="cellIs" dxfId="1" priority="37" operator="lessThan">
      <formula>0</formula>
    </cfRule>
    <cfRule type="cellIs" dxfId="0" priority="36" operator="greaterThan">
      <formula>0</formula>
    </cfRule>
  </conditionalFormatting>
  <conditionalFormatting sqref="AN17:AN24 AQ17:AQ23 AQ24">
    <cfRule type="cellIs" dxfId="0" priority="35" operator="greaterThan">
      <formula>0.065</formula>
    </cfRule>
    <cfRule type="cellIs" dxfId="1" priority="34" operator="lessThan">
      <formula>0</formula>
    </cfRule>
    <cfRule type="cellIs" dxfId="0" priority="33" operator="greaterThan">
      <formula>0</formula>
    </cfRule>
  </conditionalFormatting>
  <conditionalFormatting sqref="AX17:AX24 BD17:BD24 BG17:BG24">
    <cfRule type="cellIs" dxfId="1" priority="22" operator="greaterThan">
      <formula>0</formula>
    </cfRule>
    <cfRule type="cellIs" dxfId="1" priority="21" operator="lessThan">
      <formula>0</formula>
    </cfRule>
    <cfRule type="cellIs" dxfId="0" priority="20" operator="greaterThan">
      <formula>0</formula>
    </cfRule>
  </conditionalFormatting>
  <conditionalFormatting sqref="BC17:BC24 BF17:BF23 BF24">
    <cfRule type="cellIs" dxfId="0" priority="19" operator="greaterThan">
      <formula>0.065</formula>
    </cfRule>
    <cfRule type="cellIs" dxfId="1" priority="18" operator="lessThan">
      <formula>0</formula>
    </cfRule>
    <cfRule type="cellIs" dxfId="0" priority="17" operator="greaterThan">
      <formula>0</formula>
    </cfRule>
  </conditionalFormatting>
  <conditionalFormatting sqref="BM17:BM24 BS17:BS24 BV17:BV24">
    <cfRule type="cellIs" dxfId="1" priority="6" operator="greaterThan">
      <formula>0</formula>
    </cfRule>
    <cfRule type="cellIs" dxfId="1" priority="5" operator="lessThan">
      <formula>0</formula>
    </cfRule>
    <cfRule type="cellIs" dxfId="0" priority="4" operator="greaterThan">
      <formula>0</formula>
    </cfRule>
  </conditionalFormatting>
  <conditionalFormatting sqref="BR17:BR24 BU17:BU23 BU24">
    <cfRule type="cellIs" dxfId="0" priority="3" operator="greaterThan">
      <formula>0.065</formula>
    </cfRule>
    <cfRule type="cellIs" dxfId="1" priority="2" operator="lessThan">
      <formula>0</formula>
    </cfRule>
    <cfRule type="cellIs" dxfId="0" priority="1" operator="greaterThan">
      <formula>0</formula>
    </cfRule>
  </conditionalFormatting>
  <conditionalFormatting sqref="CB17:CB24 CH17:CH24 CK17:CK24">
    <cfRule type="cellIs" dxfId="1" priority="118" operator="greaterThan">
      <formula>0</formula>
    </cfRule>
    <cfRule type="cellIs" dxfId="1" priority="117" operator="lessThan">
      <formula>0</formula>
    </cfRule>
    <cfRule type="cellIs" dxfId="0" priority="116" operator="greaterThan">
      <formula>0</formula>
    </cfRule>
  </conditionalFormatting>
  <conditionalFormatting sqref="CG17:CG24 CJ17:CJ23 CJ24">
    <cfRule type="cellIs" dxfId="0" priority="115" operator="greaterThan">
      <formula>0.065</formula>
    </cfRule>
    <cfRule type="cellIs" dxfId="1" priority="114" operator="lessThan">
      <formula>0</formula>
    </cfRule>
    <cfRule type="cellIs" dxfId="0" priority="113" operator="greaterThan">
      <formula>0</formula>
    </cfRule>
  </conditionalFormatting>
  <conditionalFormatting sqref="CQ17:CQ24 CW17:CW24 CZ17:CZ24">
    <cfRule type="cellIs" dxfId="1" priority="102" operator="greaterThan">
      <formula>0</formula>
    </cfRule>
    <cfRule type="cellIs" dxfId="1" priority="101" operator="lessThan">
      <formula>0</formula>
    </cfRule>
    <cfRule type="cellIs" dxfId="0" priority="100" operator="greaterThan">
      <formula>0</formula>
    </cfRule>
  </conditionalFormatting>
  <conditionalFormatting sqref="CV17:CV24 CY17:CY23 CY24">
    <cfRule type="cellIs" dxfId="0" priority="99" operator="greaterThan">
      <formula>0.065</formula>
    </cfRule>
    <cfRule type="cellIs" dxfId="1" priority="98" operator="lessThan">
      <formula>0</formula>
    </cfRule>
    <cfRule type="cellIs" dxfId="0" priority="97" operator="greater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template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qz154</dc:creator>
  <cp:lastModifiedBy>qz154</cp:lastModifiedBy>
  <dcterms:created xsi:type="dcterms:W3CDTF">2025-08-02T17:51:00Z</dcterms:created>
  <dcterms:modified xsi:type="dcterms:W3CDTF">2025-08-03T22:04:18Z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58F579FC5FD441B3B78793D7FC2A854A_11</vt:lpwstr>
  </property>
  <property fmtid="{D5CDD505-2E9C-101B-9397-08002B2CF9AE}" pid="3" name="KSOProductBuildVer">
    <vt:lpwstr>1033-12.2.0.21931</vt:lpwstr>
  </property>
</Properties>
</file>